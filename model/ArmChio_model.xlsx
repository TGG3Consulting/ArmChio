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PnL_36m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chemes" sheetId="7" state="visible" r:id="rId7"/>
    <sheet xmlns:r="http://schemas.openxmlformats.org/officeDocument/2006/relationships" name="Franchise" sheetId="8" state="visible" r:id="rId8"/>
    <sheet xmlns:r="http://schemas.openxmlformats.org/officeDocument/2006/relationships" name="Networ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80" customWidth="1" min="4" max="4"/>
    <col width="24" customWidth="1" min="5" max="5"/>
    <col width="70" customWidth="1" min="6" max="6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Источник</t>
        </is>
      </c>
      <c r="E1" s="1" t="inlineStr">
        <is>
          <t>Достоверность</t>
        </is>
      </c>
      <c r="F1" s="1" t="inlineStr">
        <is>
          <t>Комментарий</t>
        </is>
      </c>
    </row>
    <row r="2">
      <c r="A2" t="inlineStr">
        <is>
          <t>fx_usd</t>
        </is>
      </c>
      <c r="B2" s="2" t="n">
        <v>361.36</v>
      </c>
      <c r="C2" t="inlineStr">
        <is>
          <t>AMD/USD</t>
        </is>
      </c>
      <c r="D2" t="inlineStr">
        <is>
          <t>armenia_prices_competitors.md, armenia_costs_regulation_macro.md: ЦБА 19.10.2026 (подтв. verification_report.md A.9)</t>
        </is>
      </c>
      <c r="E2" t="inlineStr">
        <is>
          <t>факт</t>
        </is>
      </c>
      <c r="F2" t="inlineStr"/>
    </row>
    <row r="3">
      <c r="A3" t="inlineStr">
        <is>
          <t>fx_rub</t>
        </is>
      </c>
      <c r="B3" s="2" t="n">
        <v>4.3731</v>
      </c>
      <c r="C3" t="inlineStr">
        <is>
          <t>AMD/RUB</t>
        </is>
      </c>
      <c r="D3" t="inlineStr">
        <is>
          <t>armenia_prices_competitors.md: ЦБА 19.10.2026</t>
        </is>
      </c>
      <c r="E3" t="inlineStr">
        <is>
          <t>факт</t>
        </is>
      </c>
      <c r="F3" t="inlineStr"/>
    </row>
    <row r="4">
      <c r="A4" t="inlineStr">
        <is>
          <t>cpi</t>
        </is>
      </c>
      <c r="B4" s="2" t="n">
        <v>0.043</v>
      </c>
      <c r="C4" t="inlineStr">
        <is>
          <t>доля/год</t>
        </is>
      </c>
      <c r="D4" t="inlineStr">
        <is>
          <t>armenia_costs_regulation_macro.md: ИПЦ сен-2026 г/г 4,3%</t>
        </is>
      </c>
      <c r="E4" t="inlineStr">
        <is>
          <t>факт</t>
        </is>
      </c>
      <c r="F4" t="inlineStr">
        <is>
          <t>индексация цен и фикс. расходов с 13-го и 25-го мес.</t>
        </is>
      </c>
    </row>
    <row r="5">
      <c r="A5" t="inlineStr">
        <is>
          <t>refi_rate</t>
        </is>
      </c>
      <c r="B5" s="2" t="n">
        <v>0.0675</v>
      </c>
      <c r="C5" t="inlineStr">
        <is>
          <t>доля/год</t>
        </is>
      </c>
      <c r="D5" t="inlineStr">
        <is>
          <t>armenia_costs_regulation_macro.md: ставка ЦБ РА, 09.2026</t>
        </is>
      </c>
      <c r="E5" t="inlineStr">
        <is>
          <t>факт</t>
        </is>
      </c>
      <c r="F5" t="inlineStr"/>
    </row>
    <row r="6">
      <c r="A6" t="inlineStr">
        <is>
          <t>discount_rate</t>
        </is>
      </c>
      <c r="B6" s="2" t="n">
        <v>0.18</v>
      </c>
      <c r="C6" t="inlineStr">
        <is>
          <t>доля/год</t>
        </is>
      </c>
      <c r="D6" t="inlineStr">
        <is>
          <t>оценка: ставка ЦБ 6,75% + премия за риск малого бизнеса/неликвидность/валюта ≈ 11 п.п.</t>
        </is>
      </c>
      <c r="E6" t="inlineStr">
        <is>
          <t>оценка</t>
        </is>
      </c>
      <c r="F6" t="inlineStr">
        <is>
          <t>диапазон 15–20%; NPV также при 15% и 20%</t>
        </is>
      </c>
    </row>
    <row r="7">
      <c r="A7" t="inlineStr">
        <is>
          <t>avg_wage_am</t>
        </is>
      </c>
      <c r="B7" s="2" t="n">
        <v>314196</v>
      </c>
      <c r="C7" t="inlineStr">
        <is>
          <t>AMD/мес</t>
        </is>
      </c>
      <c r="D7" t="inlineStr">
        <is>
          <t>armenia_costs_regulation_macro.md: Armstat авг-2026 (подтв. verification_report.md A.10)</t>
        </is>
      </c>
      <c r="E7" t="inlineStr">
        <is>
          <t>факт</t>
        </is>
      </c>
      <c r="F7" t="inlineStr"/>
    </row>
    <row r="8">
      <c r="A8" t="inlineStr">
        <is>
          <t>avg_wage_ru</t>
        </is>
      </c>
      <c r="B8" s="2" t="n">
        <v>103612</v>
      </c>
      <c r="C8" t="inlineStr">
        <is>
          <t>RUB/мес</t>
        </is>
      </c>
      <c r="D8" t="inlineStr">
        <is>
          <t>Росстат, январь 2026 (glavkniga.ru/situations/k518592; 1prime.ru 01.04.2026)</t>
        </is>
      </c>
      <c r="E8" t="inlineStr">
        <is>
          <t>факт (вторичный источник)</t>
        </is>
      </c>
      <c r="F8" t="inlineStr"/>
    </row>
    <row r="9">
      <c r="A9" t="inlineStr">
        <is>
          <t>pop_yerevan</t>
        </is>
      </c>
      <c r="B9" s="2" t="n">
        <v>1147600</v>
      </c>
      <c r="C9" t="inlineStr">
        <is>
          <t>чел</t>
        </is>
      </c>
      <c r="D9" t="inlineStr">
        <is>
          <t>armenia_costs_regulation_macro.md: Armstat 01.01.2026</t>
        </is>
      </c>
      <c r="E9" t="inlineStr">
        <is>
          <t>факт</t>
        </is>
      </c>
      <c r="F9" t="inlineStr"/>
    </row>
    <row r="10">
      <c r="A10" t="inlineStr">
        <is>
          <t>price_mens_A</t>
        </is>
      </c>
      <c r="B10" s="2" t="n">
        <v>2500</v>
      </c>
      <c r="C10" t="inlineStr">
        <is>
          <t>AMD</t>
        </is>
      </c>
      <c r="D10" t="inlineStr">
        <is>
          <t>armenia_prices_competitors.md §4: медиана эконом 3 000, дно 1 000–1 500, True Cost 3 000; −17% к медиане эконом</t>
        </is>
      </c>
      <c r="E10" t="inlineStr">
        <is>
          <t>решение</t>
        </is>
      </c>
      <c r="F10" t="inlineStr">
        <is>
          <t>не повышаем для компенсации v2: потолок — медиана эконом 3 000; чувствительность ±20% в G</t>
        </is>
      </c>
    </row>
    <row r="11">
      <c r="A11" t="inlineStr">
        <is>
          <t>price_mens_B</t>
        </is>
      </c>
      <c r="B11" s="2" t="n">
        <v>3000</v>
      </c>
      <c r="C11" t="inlineStr">
        <is>
          <t>AMD</t>
        </is>
      </c>
      <c r="D11" t="inlineStr">
        <is>
          <t>armenia_prices_competitors.md: центр 3 000–5 000; = True Cost (15 мин вместо 30)</t>
        </is>
      </c>
      <c r="E11" t="inlineStr">
        <is>
          <t>решение</t>
        </is>
      </c>
      <c r="F11" t="inlineStr"/>
    </row>
    <row r="12">
      <c r="A12" t="inlineStr">
        <is>
          <t>mix</t>
        </is>
      </c>
      <c r="B12" s="2" t="inlineStr">
        <is>
          <t>40/20/12/8/5/8/4/3</t>
        </is>
      </c>
      <c r="C12" t="inlineStr">
        <is>
          <t>% услуг</t>
        </is>
      </c>
      <c r="D12" t="inlineStr">
        <is>
          <t>chio_chio_model.md: ЦА мужчины/дети/пенсионеры; armenia_prices_competitors.md §3: прокси ЮMoney</t>
        </is>
      </c>
      <c r="E12" t="inlineStr">
        <is>
          <t>допущение</t>
        </is>
      </c>
      <c r="F12" t="inlineStr">
        <is>
          <t>муж/машинка/дет/жен.кор/жен.дл/борода/укладка/корни; вариант «эконом-микс» в A; пересмотр по CRM через 3 мес.</t>
        </is>
      </c>
    </row>
    <row r="13">
      <c r="A13" t="inlineStr">
        <is>
          <t>minutes_avg</t>
        </is>
      </c>
      <c r="B13" s="2" t="n">
        <v>18.65</v>
      </c>
      <c r="C13" t="inlineStr">
        <is>
          <t>мин/услуга</t>
        </is>
      </c>
      <c r="D13" t="inlineStr">
        <is>
          <t>chio_chio_model.md: 15 мин, 4–5 стрижек/час; взвешено по миксу</t>
        </is>
      </c>
      <c r="E13" t="inlineStr">
        <is>
          <t>оценка</t>
        </is>
      </c>
      <c r="F13" t="inlineStr"/>
    </row>
    <row r="14">
      <c r="A14" t="inlineStr">
        <is>
          <t>addon_share</t>
        </is>
      </c>
      <c r="B14" s="2" t="n">
        <v>0.12</v>
      </c>
      <c r="C14" t="inlineStr">
        <is>
          <t>доля услуг</t>
        </is>
      </c>
      <c r="D14" t="inlineStr">
        <is>
          <t>борода и укладка — доп. услуги к визиту (визитов = услуг × (1 − доля))</t>
        </is>
      </c>
      <c r="E14" t="inlineStr">
        <is>
          <t>допущение</t>
        </is>
      </c>
      <c r="F14" t="inlineStr"/>
    </row>
    <row r="15">
      <c r="A15" t="inlineStr">
        <is>
          <t>hours_per_day</t>
        </is>
      </c>
      <c r="B15" s="2" t="n">
        <v>11</v>
      </c>
      <c r="C15" t="inlineStr">
        <is>
          <t>ч</t>
        </is>
      </c>
      <c r="D15" t="inlineStr">
        <is>
          <t>chio_chio_model.md: Казань 09–21; armenia_prices_competitors.md: Ереван 10–20/22 → 10:00–21:00</t>
        </is>
      </c>
      <c r="E15" t="inlineStr">
        <is>
          <t>решение</t>
        </is>
      </c>
      <c r="F15" t="inlineStr"/>
    </row>
    <row r="16">
      <c r="A16" t="inlineStr">
        <is>
          <t>days_per_month</t>
        </is>
      </c>
      <c r="B16" s="2" t="n">
        <v>30.41666666666667</v>
      </c>
      <c r="C16" t="inlineStr">
        <is>
          <t>дн</t>
        </is>
      </c>
      <c r="D16" t="inlineStr">
        <is>
          <t>7/7 без санитарных дней</t>
        </is>
      </c>
      <c r="E16" t="inlineStr">
        <is>
          <t>допущение</t>
        </is>
      </c>
      <c r="F16" t="inlineStr"/>
    </row>
    <row r="17">
      <c r="A17" t="inlineStr">
        <is>
          <t>chairs</t>
        </is>
      </c>
      <c r="B17" s="2" t="n">
        <v>3</v>
      </c>
      <c r="C17" t="inlineStr">
        <is>
          <t>шт</t>
        </is>
      </c>
      <c r="D17" t="inlineStr">
        <is>
          <t>chio_chio_model.md: 2–3 кресла</t>
        </is>
      </c>
      <c r="E17" t="inlineStr">
        <is>
          <t>решение</t>
        </is>
      </c>
      <c r="F17" t="inlineStr">
        <is>
          <t>вариант 2 кресла в C/D</t>
        </is>
      </c>
    </row>
    <row r="18">
      <c r="A18" t="inlineStr">
        <is>
          <t>masters</t>
        </is>
      </c>
      <c r="B18" s="2" t="n">
        <v>4</v>
      </c>
      <c r="C18" t="inlineStr">
        <is>
          <t>чел</t>
        </is>
      </c>
      <c r="D18" t="inlineStr">
        <is>
          <t>3 кресла × 7 дн × 11 ч = 231 кресло-ч/нед; 4 мастера по 5–6 смен — законно только для ИП-мастеров (ТК РА 40/48 ч)</t>
        </is>
      </c>
      <c r="E18" t="inlineStr">
        <is>
          <t>решение</t>
        </is>
      </c>
      <c r="F18" t="inlineStr"/>
    </row>
    <row r="19">
      <c r="A19" t="inlineStr">
        <is>
          <t>load_mature_base</t>
        </is>
      </c>
      <c r="B19" s="2" t="n">
        <v>0.4</v>
      </c>
      <c r="C19" t="inlineStr">
        <is>
          <t>доля ёмкости</t>
        </is>
      </c>
      <c r="D19" t="inlineStr">
        <is>
          <t>verification_report.md C.5/D.2: 45% = средняя зрелая точка Чио Чио с брендом и колл-центром → для нового бренда 40%</t>
        </is>
      </c>
      <c r="E19" t="inlineStr">
        <is>
          <t>оценка</t>
        </is>
      </c>
      <c r="F19" t="inlineStr"/>
    </row>
    <row r="20">
      <c r="A20" t="inlineStr">
        <is>
          <t>load_mature_pess</t>
        </is>
      </c>
      <c r="B20" s="2" t="n">
        <v>0.3</v>
      </c>
      <c r="C20" t="inlineStr">
        <is>
          <t>доля</t>
        </is>
      </c>
      <c r="D20" t="inlineStr">
        <is>
          <t>verification_report.md D.2; chio_chio_model.md: «треть франчайзи убыточны»</t>
        </is>
      </c>
      <c r="E20" t="inlineStr">
        <is>
          <t>оценка</t>
        </is>
      </c>
      <c r="F20" t="inlineStr"/>
    </row>
    <row r="21">
      <c r="A21" t="inlineStr">
        <is>
          <t>load_mature_opt</t>
        </is>
      </c>
      <c r="B21" s="2" t="n">
        <v>0.45</v>
      </c>
      <c r="C21" t="inlineStr">
        <is>
          <t>доля</t>
        </is>
      </c>
      <c r="D21" t="inlineStr">
        <is>
          <t>chio_chio_model.md: средняя зрелая точка Чио Чио</t>
        </is>
      </c>
      <c r="E21" t="inlineStr">
        <is>
          <t>оценка</t>
        </is>
      </c>
      <c r="F21" t="inlineStr"/>
    </row>
    <row r="22">
      <c r="A22" t="inlineStr">
        <is>
          <t>load_shape</t>
        </is>
      </c>
      <c r="B22" s="2" t="inlineStr">
        <is>
          <t>м1 28% → м6 70% → м12 86% → м24 95% → м36 100%</t>
        </is>
      </c>
      <c r="C22" t="inlineStr">
        <is>
          <t>кривая</t>
        </is>
      </c>
      <c r="D22" t="inlineStr">
        <is>
          <t>chio_chio_model.md: кейсы Екб, spark, партнёр-2021; verification_report.md C.5 — согласуется</t>
        </is>
      </c>
      <c r="E22" t="inlineStr">
        <is>
          <t>оценка</t>
        </is>
      </c>
      <c r="F22" t="inlineStr"/>
    </row>
    <row r="23">
      <c r="A23" t="inlineStr">
        <is>
          <t>early_stress</t>
        </is>
      </c>
      <c r="B23" s="2" t="n">
        <v>0.5</v>
      </c>
      <c r="C23" t="inlineStr">
        <is>
          <t>множитель м1–3</t>
        </is>
      </c>
      <c r="D23" t="inlineStr">
        <is>
          <t>verification_report.md C.5: стресс «первые 3 месяца на 50% ниже кривой» — для расчёта оборотного резерва</t>
        </is>
      </c>
      <c r="E23" t="inlineStr">
        <is>
          <t>допущение</t>
        </is>
      </c>
      <c r="F23" t="inlineStr"/>
    </row>
    <row r="24">
      <c r="A24" t="inlineStr">
        <is>
          <t>area_sqm</t>
        </is>
      </c>
      <c r="B24" s="2" t="n">
        <v>30</v>
      </c>
      <c r="C24" t="inlineStr">
        <is>
          <t>м²</t>
        </is>
      </c>
      <c r="D24" t="inlineStr">
        <is>
          <t>решение (v2, verification_report.md D.15): 3 поста ≈10,5 м² + ожидание 6–7 + зона персонала/хранение 4 + санузел с раковиной 3 + мойка 2,5 + проходы ≈4 → 30 м² удовлетворяет санправилам (файл 3 §5.1); Чио Чио 20–25 м²; v1 — 40 м²</t>
        </is>
      </c>
      <c r="E24" t="inlineStr">
        <is>
          <t>решение</t>
        </is>
      </c>
      <c r="F24" t="inlineStr">
        <is>
          <t>вариант 40 м² в C/G</t>
        </is>
      </c>
    </row>
    <row r="25">
      <c r="A25" t="inlineStr">
        <is>
          <t>rent_sqm_sleep</t>
        </is>
      </c>
      <c r="B25" s="2" t="n">
        <v>6500</v>
      </c>
      <c r="C25" t="inlineStr">
        <is>
          <t>AMD/м²/мес</t>
        </is>
      </c>
      <c r="D25" t="inlineStr">
        <is>
          <t>armenia_costs_regulation_macro.md §1.2; verification_report.md A.24: выборка спальных районов n=3 (5 556 / 5 808 / 9 583), медиана 5 808, единственный малый формат 9 583</t>
        </is>
      </c>
      <c r="E25" t="inlineStr">
        <is>
          <t>оценка (n=3)</t>
        </is>
      </c>
      <c r="F25" t="inlineStr">
        <is>
          <t>диапазон 5 800–9 600; стресс 9 500 в C и G; закрыть обзвоном 30 объектов</t>
        </is>
      </c>
    </row>
    <row r="26">
      <c r="A26" t="inlineStr">
        <is>
          <t>rent_sqm_center</t>
        </is>
      </c>
      <c r="B26" s="2" t="n">
        <v>8500</v>
      </c>
      <c r="C26" t="inlineStr">
        <is>
          <t>AMD/м²/мес</t>
        </is>
      </c>
      <c r="D26" t="inlineStr">
        <is>
          <t>armenia_costs_regulation_macro.md §1.2: Кентрон (пересчёт verification_report.md: 8 451–8 667 для 20–120 м²)</t>
        </is>
      </c>
      <c r="E26" t="inlineStr">
        <is>
          <t>оценка (цены предложения)</t>
        </is>
      </c>
      <c r="F26" t="inlineStr"/>
    </row>
    <row r="27">
      <c r="A27" t="inlineStr">
        <is>
          <t>rent_sqm_center_1line</t>
        </is>
      </c>
      <c r="B27" s="2" t="n">
        <v>13000</v>
      </c>
      <c r="C27" t="inlineStr">
        <is>
          <t>AMD/м²/мес</t>
        </is>
      </c>
      <c r="D27" t="inlineStr">
        <is>
          <t>armenia_costs_regulation_macro.md §1.2: первая линия/витрина</t>
        </is>
      </c>
      <c r="E27" t="inlineStr">
        <is>
          <t>оценка (цены предложения)</t>
        </is>
      </c>
      <c r="F27" t="inlineStr"/>
    </row>
    <row r="28">
      <c r="A28" t="inlineStr">
        <is>
          <t>deposit_months</t>
        </is>
      </c>
      <c r="B28" s="2" t="n">
        <v>2</v>
      </c>
      <c r="C28" t="inlineStr">
        <is>
          <t>мес</t>
        </is>
      </c>
      <c r="D28" t="inlineStr">
        <is>
          <t>armenia_costs_regulation_macro.md</t>
        </is>
      </c>
      <c r="E28" t="inlineStr">
        <is>
          <t>факт</t>
        </is>
      </c>
      <c r="F28" t="inlineStr"/>
    </row>
    <row r="29">
      <c r="A29" t="inlineStr">
        <is>
          <t>fitout_months</t>
        </is>
      </c>
      <c r="B29" s="2" t="n">
        <v>1.25</v>
      </c>
      <c r="C29" t="inlineStr">
        <is>
          <t>мес</t>
        </is>
      </c>
      <c r="D29" t="inlineStr">
        <is>
          <t>verification_report.md C.6: аренда за период ремонта 1–1,5 мес. (каникулы не норма)</t>
        </is>
      </c>
      <c r="E29" t="inlineStr">
        <is>
          <t>оценка</t>
        </is>
      </c>
      <c r="F29" t="inlineStr"/>
    </row>
    <row r="30">
      <c r="A30" t="inlineStr">
        <is>
          <t>rent_documented</t>
        </is>
      </c>
      <c r="B30" s="2" t="n">
        <v>0</v>
      </c>
      <c r="C30" t="inlineStr">
        <is>
          <t>да/нет</t>
        </is>
      </c>
      <c r="D30" t="inlineStr">
        <is>
          <t>verification_report.md C.2: арендодатель-физлицо не выписывает расчётный документ ст. 55 ч. 2 НК → вычета 6% нет</t>
        </is>
      </c>
      <c r="E30" t="inlineStr">
        <is>
          <t>допущение (база = нет)</t>
        </is>
      </c>
      <c r="F30" t="inlineStr">
        <is>
          <t>если арендодатель — юрлицо/ИП с документами → True (вариант в C)</t>
        </is>
      </c>
    </row>
    <row r="31">
      <c r="A31" t="inlineStr">
        <is>
          <t>fot_share_market</t>
        </is>
      </c>
      <c r="B31" s="2" t="n">
        <v>0.5</v>
      </c>
      <c r="C31" t="inlineStr">
        <is>
          <t>доля выручки</t>
        </is>
      </c>
      <c r="D31" t="inlineStr">
        <is>
          <t>armenia_costs_regulation_macro.md §2.1: вакансии «50/50»; verification_report.md C.3: в практике это доля на руки при неформальной оплате</t>
        </is>
      </c>
      <c r="E31" t="inlineStr">
        <is>
          <t>оценка (3–4 вакансии)</t>
        </is>
      </c>
      <c r="F31" t="inlineStr">
        <is>
          <t>в модели 50% — брутто-выплата (gross сотруднику или сумма ИП); схемы a/b/c в C</t>
        </is>
      </c>
    </row>
    <row r="32">
      <c r="A32" t="inlineStr">
        <is>
          <t>fot_guarantee</t>
        </is>
      </c>
      <c r="B32" s="2" t="n">
        <v>200000</v>
      </c>
      <c r="C32" t="inlineStr">
        <is>
          <t>AMD/мес брутто</t>
        </is>
      </c>
      <c r="D32" t="inlineStr">
        <is>
          <t>verification_report.md D.8: 150 000 gross → 111 500 на руки &lt; рынка 150–220 тыс.; 200 000 gross/ИП → ≈170 тыс. на руки</t>
        </is>
      </c>
      <c r="E32" t="inlineStr">
        <is>
          <t>оценка</t>
        </is>
      </c>
      <c r="F32" t="inlineStr"/>
    </row>
    <row r="33">
      <c r="A33" t="inlineStr">
        <is>
          <t>masters_ip</t>
        </is>
      </c>
      <c r="B33" s="2" t="n">
        <v>1</v>
      </c>
      <c r="C33" t="inlineStr">
        <is>
          <t>да/нет</t>
        </is>
      </c>
      <c r="D33" t="inlineStr">
        <is>
          <t>verification_report.md C.3: базовая схема — мастер-ИП на налоге с оборота, договор оказания услуг; выплата документирована → вычет 6%</t>
        </is>
      </c>
      <c r="E33" t="inlineStr">
        <is>
          <t>решение</t>
        </is>
      </c>
      <c r="F33" t="inlineStr">
        <is>
          <t>риск переквалификации в трудовые отношения — см. C</t>
        </is>
      </c>
    </row>
    <row r="34">
      <c r="A34" t="inlineStr">
        <is>
          <t>ip_master_doc_exp</t>
        </is>
      </c>
      <c r="B34" s="2" t="n">
        <v>0.05</v>
      </c>
      <c r="C34" t="inlineStr">
        <is>
          <t>доля дохода</t>
        </is>
      </c>
      <c r="D34" t="inlineStr">
        <is>
          <t>документированные расходы самого ИП-мастера (инструмент, транспорт) — мало</t>
        </is>
      </c>
      <c r="E34" t="inlineStr">
        <is>
          <t>допущение</t>
        </is>
      </c>
      <c r="F34" t="inlineStr"/>
    </row>
    <row r="35">
      <c r="A35" t="inlineStr">
        <is>
          <t>manager_cost</t>
        </is>
      </c>
      <c r="B35" s="2" t="n">
        <v>120000</v>
      </c>
      <c r="C35" t="inlineStr">
        <is>
          <t>AMD/мес</t>
        </is>
      </c>
      <c r="D35" t="inlineStr">
        <is>
          <t>0,5 ставки управляющего-наставника (сотрудник; не документируемый расход)</t>
        </is>
      </c>
      <c r="E35" t="inlineStr">
        <is>
          <t>допущение</t>
        </is>
      </c>
      <c r="F35" t="inlineStr"/>
    </row>
    <row r="36">
      <c r="A36" t="inlineStr">
        <is>
          <t>cleaning_cost</t>
        </is>
      </c>
      <c r="B36" s="2" t="n">
        <v>40000</v>
      </c>
      <c r="C36" t="inlineStr">
        <is>
          <t>AMD/мес</t>
        </is>
      </c>
      <c r="D36" t="inlineStr">
        <is>
          <t>уборка (сотрудник/физлицо)</t>
        </is>
      </c>
      <c r="E36" t="inlineStr">
        <is>
          <t>допущение</t>
        </is>
      </c>
      <c r="F36" t="inlineStr"/>
    </row>
    <row r="37">
      <c r="A37" t="inlineStr">
        <is>
          <t>host_cost</t>
        </is>
      </c>
      <c r="B37" s="2" t="n">
        <v>150000</v>
      </c>
      <c r="C37" t="inlineStr">
        <is>
          <t>AMD/мес</t>
        </is>
      </c>
      <c r="D37" t="inlineStr">
        <is>
          <t>verification_report.md D.7: администратор/хост на первые 6 мес. — опция, база 0 (киоск + мастера)</t>
        </is>
      </c>
      <c r="E37" t="inlineStr">
        <is>
          <t>допущение</t>
        </is>
      </c>
      <c r="F37" t="inlineStr"/>
    </row>
    <row r="38">
      <c r="A38" t="inlineStr">
        <is>
          <t>consumables_per_client</t>
        </is>
      </c>
      <c r="B38" s="2" t="n">
        <v>95</v>
      </c>
      <c r="C38" t="inlineStr">
        <is>
          <t>AMD/клиент</t>
        </is>
      </c>
      <c r="D38" t="inlineStr">
        <is>
          <t>armenia_costs_regulation_macro.md: 20–40 тыс. на 3 кресла; chio_chio_model.md: ~6% в РФ с косметикой; без мытья ниже</t>
        </is>
      </c>
      <c r="E38" t="inlineStr">
        <is>
          <t>оценка</t>
        </is>
      </c>
      <c r="F38" t="inlineStr">
        <is>
          <t>документированы (чеки поставщиков)</t>
        </is>
      </c>
    </row>
    <row r="39">
      <c r="A39" t="inlineStr">
        <is>
          <t>consumables_floor</t>
        </is>
      </c>
      <c r="B39" s="2" t="n">
        <v>30000</v>
      </c>
      <c r="C39" t="inlineStr">
        <is>
          <t>AMD/мес</t>
        </is>
      </c>
      <c r="D39" t="inlineStr">
        <is>
          <t>armenia_costs_regulation_macro.md</t>
        </is>
      </c>
      <c r="E39" t="inlineStr">
        <is>
          <t>оценка</t>
        </is>
      </c>
      <c r="F39" t="inlineStr"/>
    </row>
    <row r="40">
      <c r="A40" t="inlineStr">
        <is>
          <t>utilities</t>
        </is>
      </c>
      <c r="B40" s="2" t="n">
        <v>75000</v>
      </c>
      <c r="C40" t="inlineStr">
        <is>
          <t>AMD/мес</t>
        </is>
      </c>
      <c r="D40" t="inlineStr">
        <is>
          <t>armenia_costs_regulation_macro.md §7: 60–90 тыс. на 40 м²</t>
        </is>
      </c>
      <c r="E40" t="inlineStr">
        <is>
          <t>оценка</t>
        </is>
      </c>
      <c r="F40" t="inlineStr">
        <is>
          <t>документированы (ENA, Veolia)</t>
        </is>
      </c>
    </row>
    <row r="41">
      <c r="A41" t="inlineStr">
        <is>
          <t>it_crm</t>
        </is>
      </c>
      <c r="B41" s="2" t="n">
        <v>17000</v>
      </c>
      <c r="C41" t="inlineStr">
        <is>
          <t>AMD/мес</t>
        </is>
      </c>
      <c r="D41" t="inlineStr">
        <is>
          <t>alteg.io цены не публикует (проверено 20.10.2026); $10–12/сотр. × 4 + связь; альтернатива Fresha</t>
        </is>
      </c>
      <c r="E41" t="inlineStr">
        <is>
          <t>оценка</t>
        </is>
      </c>
      <c r="F41" t="inlineStr"/>
    </row>
    <row r="42">
      <c r="A42" t="inlineStr">
        <is>
          <t>hdm_monthly</t>
        </is>
      </c>
      <c r="B42" s="2" t="n">
        <v>3000</v>
      </c>
      <c r="C42" t="inlineStr">
        <is>
          <t>AMD/мес</t>
        </is>
      </c>
      <c r="D42" t="inlineStr">
        <is>
          <t>armenia_costs_regulation_macro.md §5.2: e-HDM</t>
        </is>
      </c>
      <c r="E42" t="inlineStr">
        <is>
          <t>факт</t>
        </is>
      </c>
      <c r="F42" t="inlineStr"/>
    </row>
    <row r="43">
      <c r="A43" t="inlineStr">
        <is>
          <t>hdm_setup</t>
        </is>
      </c>
      <c r="B43" s="2" t="n">
        <v>30000</v>
      </c>
      <c r="C43" t="inlineStr">
        <is>
          <t>AMD</t>
        </is>
      </c>
      <c r="D43" t="inlineStr">
        <is>
          <t>armenia_costs_regulation_macro.md §5.2</t>
        </is>
      </c>
      <c r="E43" t="inlineStr">
        <is>
          <t>факт</t>
        </is>
      </c>
      <c r="F43" t="inlineStr"/>
    </row>
    <row r="44">
      <c r="A44" t="inlineStr">
        <is>
          <t>card_share</t>
        </is>
      </c>
      <c r="B44" s="2" t="n">
        <v>0.5</v>
      </c>
      <c r="C44" t="inlineStr">
        <is>
          <t>доля выручки</t>
        </is>
      </c>
      <c r="D44" t="inlineStr">
        <is>
          <t>armenia_prices_competitors.md §3; verification_report.md D.5: спальные 40%, центр 60%</t>
        </is>
      </c>
      <c r="E44" t="inlineStr">
        <is>
          <t>допущение</t>
        </is>
      </c>
      <c r="F44" t="inlineStr"/>
    </row>
    <row r="45">
      <c r="A45" t="inlineStr">
        <is>
          <t>acq_rate</t>
        </is>
      </c>
      <c r="B45" s="2" t="n">
        <v>0.012</v>
      </c>
      <c r="C45" t="inlineStr">
        <is>
          <t>доля безнала</t>
        </is>
      </c>
      <c r="D45" t="inlineStr">
        <is>
          <t>armenia_costs_regulation_macro.md §5.3</t>
        </is>
      </c>
      <c r="E45" t="inlineStr">
        <is>
          <t>оценка</t>
        </is>
      </c>
      <c r="F45" t="inlineStr"/>
    </row>
    <row r="46">
      <c r="A46" t="inlineStr">
        <is>
          <t>acq_terminal</t>
        </is>
      </c>
      <c r="B46" s="2" t="n">
        <v>4600</v>
      </c>
      <c r="C46" t="inlineStr">
        <is>
          <t>AMD/мес</t>
        </is>
      </c>
      <c r="D46" t="inlineStr">
        <is>
          <t>armenia_costs_regulation_macro.md §5.3: IDBank</t>
        </is>
      </c>
      <c r="E46" t="inlineStr">
        <is>
          <t>факт</t>
        </is>
      </c>
      <c r="F46" t="inlineStr"/>
    </row>
    <row r="47">
      <c r="A47" t="inlineStr">
        <is>
          <t>marketing_y1</t>
        </is>
      </c>
      <c r="B47" s="2" t="n">
        <v>0.05</v>
      </c>
      <c r="C47" t="inlineStr">
        <is>
          <t>доля выручки</t>
        </is>
      </c>
      <c r="D47" t="inlineStr">
        <is>
          <t>verification_report.md D.6: новый бренд без колл-центра/приложения УК → 5% в год 1</t>
        </is>
      </c>
      <c r="E47" t="inlineStr">
        <is>
          <t>оценка</t>
        </is>
      </c>
      <c r="F47" t="inlineStr"/>
    </row>
    <row r="48">
      <c r="A48" t="inlineStr">
        <is>
          <t>marketing_y1_floor</t>
        </is>
      </c>
      <c r="B48" s="2" t="n">
        <v>120000</v>
      </c>
      <c r="C48" t="inlineStr">
        <is>
          <t>AMD/мес</t>
        </is>
      </c>
      <c r="D48" t="inlineStr">
        <is>
          <t>verification_report.md</t>
        </is>
      </c>
      <c r="E48" t="inlineStr">
        <is>
          <t>оценка</t>
        </is>
      </c>
      <c r="F48" t="inlineStr"/>
    </row>
    <row r="49">
      <c r="A49" t="inlineStr">
        <is>
          <t>marketing_pct</t>
        </is>
      </c>
      <c r="B49" s="2" t="n">
        <v>0.03</v>
      </c>
      <c r="C49" t="inlineStr">
        <is>
          <t>доля выручки</t>
        </is>
      </c>
      <c r="D49" t="inlineStr">
        <is>
          <t>chio_chio_model.md: модель УК 10 тыс.₽ при 150–300 тыс. (3–7%) → 3% с года 2</t>
        </is>
      </c>
      <c r="E49" t="inlineStr">
        <is>
          <t>оценка</t>
        </is>
      </c>
      <c r="F49" t="inlineStr"/>
    </row>
    <row r="50">
      <c r="A50" t="inlineStr">
        <is>
          <t>marketing_floor</t>
        </is>
      </c>
      <c r="B50" s="2" t="n">
        <v>60000</v>
      </c>
      <c r="C50" t="inlineStr">
        <is>
          <t>AMD/мес</t>
        </is>
      </c>
      <c r="D50" t="inlineStr"/>
      <c r="E50" t="inlineStr">
        <is>
          <t>оценка</t>
        </is>
      </c>
      <c r="F50" t="inlineStr"/>
    </row>
    <row r="51">
      <c r="A51" t="inlineStr">
        <is>
          <t>accounting</t>
        </is>
      </c>
      <c r="B51" s="2" t="n">
        <v>35000</v>
      </c>
      <c r="C51" t="inlineStr">
        <is>
          <t>AMD/мес</t>
        </is>
      </c>
      <c r="D51" t="inlineStr">
        <is>
          <t>аутсорс бухгалтерии ИП на налоге с оборота</t>
        </is>
      </c>
      <c r="E51" t="inlineStr">
        <is>
          <t>оценка</t>
        </is>
      </c>
      <c r="F51" t="inlineStr"/>
    </row>
    <row r="52">
      <c r="A52" t="inlineStr">
        <is>
          <t>accounting_ip_extra</t>
        </is>
      </c>
      <c r="B52" s="2" t="n">
        <v>15000</v>
      </c>
      <c r="C52" t="inlineStr">
        <is>
          <t>AMD/мес</t>
        </is>
      </c>
      <c r="D52" t="inlineStr">
        <is>
          <t>ведение отчётности 4 ИП-мастеров (схема c)</t>
        </is>
      </c>
      <c r="E52" t="inlineStr">
        <is>
          <t>допущение</t>
        </is>
      </c>
      <c r="F52" t="inlineStr"/>
    </row>
    <row r="53">
      <c r="A53" t="inlineStr">
        <is>
          <t>other_pct</t>
        </is>
      </c>
      <c r="B53" s="2" t="n">
        <v>0.02</v>
      </c>
      <c r="C53" t="inlineStr">
        <is>
          <t>доля выручки</t>
        </is>
      </c>
      <c r="D53" t="inlineStr">
        <is>
          <t>ремонт инструмента, форс-мажор</t>
        </is>
      </c>
      <c r="E53" t="inlineStr">
        <is>
          <t>допущение</t>
        </is>
      </c>
      <c r="F53" t="inlineStr"/>
    </row>
    <row r="54">
      <c r="A54" t="inlineStr">
        <is>
          <t>other_floor</t>
        </is>
      </c>
      <c r="B54" s="2" t="n">
        <v>20000</v>
      </c>
      <c r="C54" t="inlineStr">
        <is>
          <t>AMD/мес</t>
        </is>
      </c>
      <c r="D54" t="inlineStr"/>
      <c r="E54" t="inlineStr">
        <is>
          <t>допущение</t>
        </is>
      </c>
      <c r="F54" t="inlineStr"/>
    </row>
    <row r="55">
      <c r="A55" t="inlineStr">
        <is>
          <t>other_documented_share</t>
        </is>
      </c>
      <c r="B55" s="2" t="n">
        <v>0.5</v>
      </c>
      <c r="C55" t="inlineStr">
        <is>
          <t>доля</t>
        </is>
      </c>
      <c r="D55" t="inlineStr"/>
      <c r="E55" t="inlineStr">
        <is>
          <t>допущение</t>
        </is>
      </c>
      <c r="F55" t="inlineStr"/>
    </row>
    <row r="56">
      <c r="A56" t="inlineStr">
        <is>
          <t>ip_fixed</t>
        </is>
      </c>
      <c r="B56" s="2" t="n">
        <v>20000</v>
      </c>
      <c r="C56" t="inlineStr">
        <is>
          <t>AMD/мес</t>
        </is>
      </c>
      <c r="D56" t="inlineStr">
        <is>
          <t>armenia_costs_regulation_macro.md §4.2: подоходный 5 000 + соц. 5 000 + гербовый 120 000/год (доход &gt;12 млн) = 20 000; verification_report.md A.18 подтв.</t>
        </is>
      </c>
      <c r="E56" t="inlineStr">
        <is>
          <t>факт</t>
        </is>
      </c>
      <c r="F56" t="inlineStr">
        <is>
          <t>окончательность подоходного ИП 5 000 при налоге с оборота — подтвердить у бухгалтера (verification_report.md B.1); иначе +20% с прибыли</t>
        </is>
      </c>
    </row>
    <row r="57">
      <c r="A57" t="inlineStr">
        <is>
          <t>ip_oms_year</t>
        </is>
      </c>
      <c r="B57" s="2" t="n">
        <v>129600</v>
      </c>
      <c r="C57" t="inlineStr">
        <is>
          <t>AMD/год</t>
        </is>
      </c>
      <c r="D57" t="inlineStr">
        <is>
          <t>armenia_costs_regulation_macro.md; verification_report.md C.4/14: ОМС ИП обязателен при доходе прошлого года &gt;2,4 млн → с 13-го месяца</t>
        </is>
      </c>
      <c r="E57" t="inlineStr">
        <is>
          <t>факт</t>
        </is>
      </c>
      <c r="F57" t="inlineStr"/>
    </row>
    <row r="58">
      <c r="A58" t="inlineStr">
        <is>
          <t>tt_rate</t>
        </is>
      </c>
      <c r="B58" s="2" t="n">
        <v>0.1</v>
      </c>
      <c r="C58" t="inlineStr">
        <is>
          <t>доля</t>
        </is>
      </c>
      <c r="D58" t="inlineStr">
        <is>
          <t>armenia_costs_regulation_macro.md §4.2; verification_report.md A.13 подтв. (fincore, alphaaccounting)</t>
        </is>
      </c>
      <c r="E58" t="inlineStr">
        <is>
          <t>факт</t>
        </is>
      </c>
      <c r="F58" t="inlineStr"/>
    </row>
    <row r="59">
      <c r="A59" t="inlineStr">
        <is>
          <t>tt_deduct</t>
        </is>
      </c>
      <c r="B59" s="2" t="n">
        <v>0.06</v>
      </c>
      <c r="C59" t="inlineStr">
        <is>
          <t>доля документированных расходов</t>
        </is>
      </c>
      <c r="D59" t="inlineStr">
        <is>
          <t>armenia_costs_regulation_macro.md; закон ՀՕ-72-Ն: расходы, подтверждённые расчётными документами ст. 55 ч. 2 п. 1–5 НК (счёт-фактура, накладная, чек ККМ)</t>
        </is>
      </c>
      <c r="E59" t="inlineStr">
        <is>
          <t>факт</t>
        </is>
      </c>
      <c r="F59" t="inlineStr"/>
    </row>
    <row r="60">
      <c r="A60" t="inlineStr">
        <is>
          <t>tt_floor</t>
        </is>
      </c>
      <c r="B60" s="2" t="n">
        <v>0.045</v>
      </c>
      <c r="C60" t="inlineStr">
        <is>
          <t>доля</t>
        </is>
      </c>
      <c r="D60" t="inlineStr">
        <is>
          <t>armenia_costs_regulation_macro.md</t>
        </is>
      </c>
      <c r="E60" t="inlineStr">
        <is>
          <t>факт</t>
        </is>
      </c>
      <c r="F60" t="inlineStr"/>
    </row>
    <row r="61">
      <c r="A61" t="inlineStr">
        <is>
          <t>tt_threshold</t>
        </is>
      </c>
      <c r="B61" s="2" t="n">
        <v>115000000</v>
      </c>
      <c r="C61" t="inlineStr">
        <is>
          <t>AMD/год</t>
        </is>
      </c>
      <c r="D61" t="inlineStr">
        <is>
          <t>armenia_costs_regulation_macro.md; verification_report.md A.14: PwC/fincore/profin 115 млн vs armenian-lawyer 120 млн — берём 115</t>
        </is>
      </c>
      <c r="E61" t="inlineStr">
        <is>
          <t>факт (расхождение источников)</t>
        </is>
      </c>
      <c r="F61" t="inlineStr"/>
    </row>
    <row r="62">
      <c r="A62" t="inlineStr">
        <is>
          <t>uk_tax_royalty</t>
        </is>
      </c>
      <c r="B62" s="2" t="n">
        <v>0.1</v>
      </c>
      <c r="C62" t="inlineStr">
        <is>
          <t>доля</t>
        </is>
      </c>
      <c r="D62" t="inlineStr">
        <is>
          <t>verification_report.md C.9: роялти/паушальные — доход без вычета документированных расходов</t>
        </is>
      </c>
      <c r="E62" t="inlineStr">
        <is>
          <t>факт (вторичные источники)</t>
        </is>
      </c>
      <c r="F62" t="inlineStr"/>
    </row>
    <row r="63">
      <c r="A63" t="inlineStr">
        <is>
          <t>tt_trade_rate</t>
        </is>
      </c>
      <c r="B63" s="2" t="n">
        <v>0.1</v>
      </c>
      <c r="C63" t="inlineStr">
        <is>
          <t>доля</t>
        </is>
      </c>
      <c r="D63" t="inlineStr">
        <is>
          <t>armenia_costs_regulation_macro.md §4.2: торговля 10% − 9,5% закупок, мин. 1% (поставки расходников УК)</t>
        </is>
      </c>
      <c r="E63" t="inlineStr">
        <is>
          <t>факт</t>
        </is>
      </c>
      <c r="F63" t="inlineStr"/>
    </row>
    <row r="64">
      <c r="A64" t="inlineStr">
        <is>
          <t>royalty_chio</t>
        </is>
      </c>
      <c r="B64" s="2" t="n">
        <v>0.04</v>
      </c>
      <c r="C64" t="inlineStr">
        <is>
          <t>доля выручки</t>
        </is>
      </c>
      <c r="D64" t="inlineStr">
        <is>
          <t>chio_chio_model.md: 4%, мин. 5 000 ₽, со 2-го мес. (verification_report.md A.3 подтв.)</t>
        </is>
      </c>
      <c r="E64" t="inlineStr">
        <is>
          <t>факт</t>
        </is>
      </c>
      <c r="F64" t="inlineStr"/>
    </row>
    <row r="65">
      <c r="A65" t="inlineStr">
        <is>
          <t>royalty_chio_min_rub</t>
        </is>
      </c>
      <c r="B65" s="2" t="n">
        <v>5000</v>
      </c>
      <c r="C65" t="inlineStr">
        <is>
          <t>RUB/мес</t>
        </is>
      </c>
      <c r="D65" t="inlineStr">
        <is>
          <t>chio_chio_model.md</t>
        </is>
      </c>
      <c r="E65" t="inlineStr">
        <is>
          <t>факт</t>
        </is>
      </c>
      <c r="F65" t="inlineStr"/>
    </row>
    <row r="66">
      <c r="A66" t="inlineStr">
        <is>
          <t>fee_chio_lite_rub</t>
        </is>
      </c>
      <c r="B66" s="2" t="n">
        <v>290000</v>
      </c>
      <c r="C66" t="inlineStr">
        <is>
          <t>RUB</t>
        </is>
      </c>
      <c r="D66" t="inlineStr">
        <is>
          <t>chio_chio_model.md (verification_report.md A.2 подтв.)</t>
        </is>
      </c>
      <c r="E66" t="inlineStr">
        <is>
          <t>факт</t>
        </is>
      </c>
      <c r="F66" t="inlineStr"/>
    </row>
    <row r="67">
      <c r="A67" t="inlineStr">
        <is>
          <t>fee_chio_std_rub</t>
        </is>
      </c>
      <c r="B67" s="2" t="n">
        <v>590000</v>
      </c>
      <c r="C67" t="inlineStr">
        <is>
          <t>RUB</t>
        </is>
      </c>
      <c r="D67" t="inlineStr">
        <is>
          <t>chio_chio_model.md (verification_report.md A.1 подтв.)</t>
        </is>
      </c>
      <c r="E67" t="inlineStr">
        <is>
          <t>факт</t>
        </is>
      </c>
      <c r="F67" t="inlineStr"/>
    </row>
    <row r="68">
      <c r="A68" t="inlineStr">
        <is>
          <t>depr_months</t>
        </is>
      </c>
      <c r="B68" s="2" t="n">
        <v>60</v>
      </c>
      <c r="C68" t="inlineStr">
        <is>
          <t>мес</t>
        </is>
      </c>
      <c r="D68" t="inlineStr">
        <is>
          <t>5 лет</t>
        </is>
      </c>
      <c r="E68" t="inlineStr">
        <is>
          <t>допущение</t>
        </is>
      </c>
      <c r="F68" t="inlineStr"/>
    </row>
    <row r="69">
      <c r="A69" t="inlineStr">
        <is>
          <t>fitout_sqm</t>
        </is>
      </c>
      <c r="B69" s="2" t="n">
        <v>100000</v>
      </c>
      <c r="C69" t="inlineStr">
        <is>
          <t>AMD/м²</t>
        </is>
      </c>
      <c r="D69" t="inlineStr">
        <is>
          <t>armenia_costs_regulation_macro.md §6: 80–120 тыс./м²</t>
        </is>
      </c>
      <c r="E69" t="inlineStr">
        <is>
          <t>оценка</t>
        </is>
      </c>
      <c r="F69" t="inlineStr"/>
    </row>
    <row r="70">
      <c r="A70" t="inlineStr">
        <is>
          <t>chair_price</t>
        </is>
      </c>
      <c r="B70" s="2" t="n">
        <v>90000</v>
      </c>
      <c r="C70" t="inlineStr">
        <is>
          <t>AMD</t>
        </is>
      </c>
      <c r="D70" t="inlineStr">
        <is>
          <t>armenia_costs_regulation_macro.md §6: РФ 56–110 тыс. (без НДС и доставки)</t>
        </is>
      </c>
      <c r="E70" t="inlineStr">
        <is>
          <t>оценка</t>
        </is>
      </c>
      <c r="F70" t="inlineStr"/>
    </row>
    <row r="71">
      <c r="A71" t="inlineStr">
        <is>
          <t>post_price</t>
        </is>
      </c>
      <c r="B71" s="2" t="n">
        <v>120000</v>
      </c>
      <c r="C71" t="inlineStr">
        <is>
          <t>AMD</t>
        </is>
      </c>
      <c r="D71" t="inlineStr">
        <is>
          <t>armenia_costs_regulation_macro.md §6</t>
        </is>
      </c>
      <c r="E71" t="inlineStr">
        <is>
          <t>оценка</t>
        </is>
      </c>
      <c r="F71" t="inlineStr"/>
    </row>
    <row r="72">
      <c r="A72" t="inlineStr">
        <is>
          <t>wash_unit</t>
        </is>
      </c>
      <c r="B72" s="2" t="n">
        <v>220000</v>
      </c>
      <c r="C72" t="inlineStr">
        <is>
          <t>AMD</t>
        </is>
      </c>
      <c r="D72" t="inlineStr">
        <is>
          <t>armenia_costs_regulation_macro.md §6: кресло-мойка 130–304 тыс.</t>
        </is>
      </c>
      <c r="E72" t="inlineStr">
        <is>
          <t>оценка</t>
        </is>
      </c>
      <c r="F72" t="inlineStr"/>
    </row>
    <row r="73">
      <c r="A73" t="inlineStr">
        <is>
          <t>vacuum_unit</t>
        </is>
      </c>
      <c r="B73" s="2" t="n">
        <v>125000</v>
      </c>
      <c r="C73" t="inlineStr">
        <is>
          <t>AMD</t>
        </is>
      </c>
      <c r="D73" t="inlineStr">
        <is>
          <t>Sibel Eye Vac £215–307 (sallybeauty.co.uk), Head Jog Hair Vacuum £148,5 (astonandfincher.co.uk) + доставка; 2 шт.</t>
        </is>
      </c>
      <c r="E73" t="inlineStr">
        <is>
          <t>оценка</t>
        </is>
      </c>
      <c r="F73" t="inlineStr"/>
    </row>
    <row r="74">
      <c r="A74" t="inlineStr">
        <is>
          <t>tools_per_post</t>
        </is>
      </c>
      <c r="B74" s="2" t="n">
        <v>150000</v>
      </c>
      <c r="C74" t="inlineStr">
        <is>
          <t>AMD</t>
        </is>
      </c>
      <c r="D74" t="inlineStr">
        <is>
          <t>armenia_costs_regulation_macro.md §6</t>
        </is>
      </c>
      <c r="E74" t="inlineStr">
        <is>
          <t>оценка</t>
        </is>
      </c>
      <c r="F74" t="inlineStr"/>
    </row>
    <row r="75">
      <c r="A75" t="inlineStr">
        <is>
          <t>import_vat</t>
        </is>
      </c>
      <c r="B75" s="2" t="n">
        <v>0.2</v>
      </c>
      <c r="C75" t="inlineStr">
        <is>
          <t>доля</t>
        </is>
      </c>
      <c r="D75" t="inlineStr">
        <is>
          <t>armenia_costs_regulation_macro.md §6; verification_report.md C.6: НДС 20% при ввозе из РФ (ЕАЭС, пошлина 0) на кресла/мойку/вакуум/инструмент</t>
        </is>
      </c>
      <c r="E75" t="inlineStr">
        <is>
          <t>факт</t>
        </is>
      </c>
      <c r="F75" t="inlineStr"/>
    </row>
    <row r="76">
      <c r="A76" t="inlineStr">
        <is>
          <t>sterilizer</t>
        </is>
      </c>
      <c r="B76" s="2" t="n">
        <v>80000</v>
      </c>
      <c r="C76" t="inlineStr">
        <is>
          <t>AMD</t>
        </is>
      </c>
      <c r="D76" t="inlineStr">
        <is>
          <t>armenia_costs_regulation_macro.md §5.1</t>
        </is>
      </c>
      <c r="E76" t="inlineStr">
        <is>
          <t>оценка</t>
        </is>
      </c>
      <c r="F76" t="inlineStr"/>
    </row>
    <row r="77">
      <c r="A77" t="inlineStr">
        <is>
          <t>hvac</t>
        </is>
      </c>
      <c r="B77" s="2" t="n">
        <v>400000</v>
      </c>
      <c r="C77" t="inlineStr">
        <is>
          <t>AMD</t>
        </is>
      </c>
      <c r="D77" t="inlineStr">
        <is>
          <t>verification_report.md C.6: 2 сплит-системы + вытяжка (санправила: ≤28 °C, вентиляция)</t>
        </is>
      </c>
      <c r="E77" t="inlineStr">
        <is>
          <t>оценка</t>
        </is>
      </c>
      <c r="F77" t="inlineStr"/>
    </row>
    <row r="78">
      <c r="A78" t="inlineStr">
        <is>
          <t>boiler</t>
        </is>
      </c>
      <c r="B78" s="2" t="n">
        <v>65000</v>
      </c>
      <c r="C78" t="inlineStr">
        <is>
          <t>AMD</t>
        </is>
      </c>
      <c r="D78" t="inlineStr">
        <is>
          <t>verification_report.md C.6: горячая вода обязательна</t>
        </is>
      </c>
      <c r="E78" t="inlineStr">
        <is>
          <t>оценка</t>
        </is>
      </c>
      <c r="F78" t="inlineStr"/>
    </row>
    <row r="79">
      <c r="A79" t="inlineStr">
        <is>
          <t>waiting_furniture</t>
        </is>
      </c>
      <c r="B79" s="2" t="n">
        <v>350000</v>
      </c>
      <c r="C79" t="inlineStr">
        <is>
          <t>AMD</t>
        </is>
      </c>
      <c r="D79" t="inlineStr">
        <is>
          <t>armenia_costs_regulation_macro.md §6</t>
        </is>
      </c>
      <c r="E79" t="inlineStr">
        <is>
          <t>оценка</t>
        </is>
      </c>
      <c r="F79" t="inlineStr"/>
    </row>
    <row r="80">
      <c r="A80" t="inlineStr">
        <is>
          <t>signage</t>
        </is>
      </c>
      <c r="B80" s="2" t="n">
        <v>300000</v>
      </c>
      <c r="C80" t="inlineStr">
        <is>
          <t>AMD</t>
        </is>
      </c>
      <c r="D80" t="inlineStr">
        <is>
          <t>armenia_costs_regulation_macro.md §6: 150–400 тыс.</t>
        </is>
      </c>
      <c r="E80" t="inlineStr">
        <is>
          <t>оценка</t>
        </is>
      </c>
      <c r="F80" t="inlineStr"/>
    </row>
    <row r="81">
      <c r="A81" t="inlineStr">
        <is>
          <t>signage_permit</t>
        </is>
      </c>
      <c r="B81" s="2" t="n">
        <v>100000</v>
      </c>
      <c r="C81" t="inlineStr">
        <is>
          <t>AMD</t>
        </is>
      </c>
      <c r="D81" t="inlineStr">
        <is>
          <t>verification_report.md A.27: тариф согласования вывески мэрии Еревана НЕ НАЙДЕН — плейсхолдер 50–150 тыс.</t>
        </is>
      </c>
      <c r="E81" t="inlineStr">
        <is>
          <t>оценка (не найдено)</t>
        </is>
      </c>
      <c r="F81" t="inlineStr"/>
    </row>
    <row r="82">
      <c r="A82" t="inlineStr">
        <is>
          <t>branding_interior</t>
        </is>
      </c>
      <c r="B82" s="2" t="n">
        <v>200000</v>
      </c>
      <c r="C82" t="inlineStr">
        <is>
          <t>AMD</t>
        </is>
      </c>
      <c r="D82" t="inlineStr">
        <is>
          <t>брендинг интерьера, прайс-борды, форма</t>
        </is>
      </c>
      <c r="E82" t="inlineStr">
        <is>
          <t>оценка</t>
        </is>
      </c>
      <c r="F82" t="inlineStr"/>
    </row>
    <row r="83">
      <c r="A83" t="inlineStr">
        <is>
          <t>selfservice_it</t>
        </is>
      </c>
      <c r="B83" s="2" t="n">
        <v>250000</v>
      </c>
      <c r="C83" t="inlineStr">
        <is>
          <t>AMD</t>
        </is>
      </c>
      <c r="D83" t="inlineStr">
        <is>
          <t>киоск самообслуживания + ПК + камеры</t>
        </is>
      </c>
      <c r="E83" t="inlineStr">
        <is>
          <t>оценка</t>
        </is>
      </c>
      <c r="F83" t="inlineStr"/>
    </row>
    <row r="84">
      <c r="A84" t="inlineStr">
        <is>
          <t>crm_setup</t>
        </is>
      </c>
      <c r="B84" s="2" t="n">
        <v>30000</v>
      </c>
      <c r="C84" t="inlineStr">
        <is>
          <t>AMD</t>
        </is>
      </c>
      <c r="D84" t="inlineStr"/>
      <c r="E84" t="inlineStr">
        <is>
          <t>оценка</t>
        </is>
      </c>
      <c r="F84" t="inlineStr"/>
    </row>
    <row r="85">
      <c r="A85" t="inlineStr">
        <is>
          <t>training</t>
        </is>
      </c>
      <c r="B85" s="2" t="n">
        <v>250000</v>
      </c>
      <c r="C85" t="inlineStr">
        <is>
          <t>AMD</t>
        </is>
      </c>
      <c r="D85" t="inlineStr">
        <is>
          <t>verification_report.md C.6: стажировка 4 мастеров 2 недели до открытия (гарантия) — 15-минутная технология</t>
        </is>
      </c>
      <c r="E85" t="inlineStr">
        <is>
          <t>оценка</t>
        </is>
      </c>
      <c r="F85" t="inlineStr"/>
    </row>
    <row r="86">
      <c r="A86" t="inlineStr">
        <is>
          <t>registration</t>
        </is>
      </c>
      <c r="B86" s="2" t="n">
        <v>3000</v>
      </c>
      <c r="C86" t="inlineStr">
        <is>
          <t>AMD</t>
        </is>
      </c>
      <c r="D86" t="inlineStr">
        <is>
          <t>armenia_costs_regulation_macro.md §4.4</t>
        </is>
      </c>
      <c r="E86" t="inlineStr">
        <is>
          <t>факт</t>
        </is>
      </c>
      <c r="F86" t="inlineStr"/>
    </row>
    <row r="87">
      <c r="A87" t="inlineStr">
        <is>
          <t>legal_setup</t>
        </is>
      </c>
      <c r="B87" s="2" t="n">
        <v>60000</v>
      </c>
      <c r="C87" t="inlineStr">
        <is>
          <t>AMD</t>
        </is>
      </c>
      <c r="D87" t="inlineStr"/>
      <c r="E87" t="inlineStr">
        <is>
          <t>оценка</t>
        </is>
      </c>
      <c r="F87" t="inlineStr"/>
    </row>
    <row r="88">
      <c r="A88" t="inlineStr">
        <is>
          <t>medbooks</t>
        </is>
      </c>
      <c r="B88" s="2" t="n">
        <v>60000</v>
      </c>
      <c r="C88" t="inlineStr">
        <is>
          <t>AMD</t>
        </is>
      </c>
      <c r="D88" t="inlineStr">
        <is>
          <t>armenia_costs_regulation_macro.md §5.1: 4 × 15 тыс.</t>
        </is>
      </c>
      <c r="E88" t="inlineStr">
        <is>
          <t>оценка</t>
        </is>
      </c>
      <c r="F88" t="inlineStr"/>
    </row>
    <row r="89">
      <c r="A89" t="inlineStr">
        <is>
          <t>launch_marketing</t>
        </is>
      </c>
      <c r="B89" s="2" t="n">
        <v>400000</v>
      </c>
      <c r="C89" t="inlineStr">
        <is>
          <t>AMD</t>
        </is>
      </c>
      <c r="D89" t="inlineStr">
        <is>
          <t>chio_chio_model.md: бесплатные стрижки на открытии, флаеры</t>
        </is>
      </c>
      <c r="E89" t="inlineStr">
        <is>
          <t>оценка</t>
        </is>
      </c>
      <c r="F89" t="inlineStr"/>
    </row>
    <row r="90">
      <c r="A90" t="inlineStr">
        <is>
          <t>contingency</t>
        </is>
      </c>
      <c r="B90" s="2" t="n">
        <v>0.15</v>
      </c>
      <c r="C90" t="inlineStr">
        <is>
          <t>доля hard-CAPEX</t>
        </is>
      </c>
      <c r="D90" t="inlineStr">
        <is>
          <t>verification_report.md C.6: факт CAPEX у франчайзи в 1,5–2 раза выше витрины → 15%</t>
        </is>
      </c>
      <c r="E90" t="inlineStr">
        <is>
          <t>допущение</t>
        </is>
      </c>
      <c r="F90" t="inlineStr"/>
    </row>
    <row r="91">
      <c r="A91" t="inlineStr">
        <is>
          <t>men_15_64_share</t>
        </is>
      </c>
      <c r="B91" s="2" t="n">
        <v>0.31</v>
      </c>
      <c r="C91" t="inlineStr">
        <is>
          <t>доля населения</t>
        </is>
      </c>
      <c r="D91" t="inlineStr">
        <is>
          <t>допущение (возрастная структура вне файлов)</t>
        </is>
      </c>
      <c r="E91" t="inlineStr">
        <is>
          <t>допущение</t>
        </is>
      </c>
      <c r="F91" t="inlineStr"/>
    </row>
    <row r="92">
      <c r="A92" t="inlineStr">
        <is>
          <t>kids_share</t>
        </is>
      </c>
      <c r="B92" s="2" t="n">
        <v>0.2</v>
      </c>
      <c r="C92" t="inlineStr">
        <is>
          <t>доля населения</t>
        </is>
      </c>
      <c r="D92" t="inlineStr">
        <is>
          <t>допущение</t>
        </is>
      </c>
      <c r="E92" t="inlineStr">
        <is>
          <t>допущение</t>
        </is>
      </c>
      <c r="F92" t="inlineStr"/>
    </row>
    <row r="93">
      <c r="A93" t="inlineStr">
        <is>
          <t>haircut_freq_men</t>
        </is>
      </c>
      <c r="B93" s="2" t="n">
        <v>10</v>
      </c>
      <c r="C93" t="inlineStr">
        <is>
          <t>раз/год</t>
        </is>
      </c>
      <c r="D93" t="inlineStr">
        <is>
          <t>armenia_prices_competitors.md §3: прокси ЮMoney; 3–5 недель → 8–12</t>
        </is>
      </c>
      <c r="E93" t="inlineStr">
        <is>
          <t>допущение</t>
        </is>
      </c>
      <c r="F93" t="inlineStr"/>
    </row>
    <row r="94">
      <c r="A94" t="inlineStr">
        <is>
          <t>haircut_freq_kids</t>
        </is>
      </c>
      <c r="B94" s="2" t="n">
        <v>6</v>
      </c>
      <c r="C94" t="inlineStr">
        <is>
          <t>раз/год</t>
        </is>
      </c>
      <c r="D94" t="inlineStr">
        <is>
          <t>допущение</t>
        </is>
      </c>
      <c r="E94" t="inlineStr">
        <is>
          <t>допущение</t>
        </is>
      </c>
      <c r="F94" t="inlineStr"/>
    </row>
    <row r="95">
      <c r="A95" t="inlineStr">
        <is>
          <t>catchment_radius_km</t>
        </is>
      </c>
      <c r="B95" s="2" t="n">
        <v>1.2</v>
      </c>
      <c r="C95" t="inlineStr">
        <is>
          <t>км</t>
        </is>
      </c>
      <c r="D95" t="inlineStr">
        <is>
          <t>chio_chio_model.md: «у дома»</t>
        </is>
      </c>
      <c r="E95" t="inlineStr">
        <is>
          <t>допущение</t>
        </is>
      </c>
      <c r="F95" t="inlineStr"/>
    </row>
    <row r="96">
      <c r="A96" t="inlineStr">
        <is>
          <t>pop_per_point_base</t>
        </is>
      </c>
      <c r="B96" s="2" t="n">
        <v>60000</v>
      </c>
      <c r="C96" t="inlineStr">
        <is>
          <t>жит./точка</t>
        </is>
      </c>
      <c r="D96" t="inlineStr">
        <is>
          <t>verification_report.md C.9: Казань откатилась с 41–42 (2022) до 26 адресов (2026) = 1 на ~50 тыс.; Ереван плотнее по конкуренции (1 салон/720 жит.) → 1/60 тыс., диапазон 50–70 тыс.</t>
        </is>
      </c>
      <c r="E96" t="inlineStr">
        <is>
          <t>оценка</t>
        </is>
      </c>
      <c r="F96" t="inlineStr"/>
    </row>
    <row r="97">
      <c r="A97" t="inlineStr">
        <is>
          <t>pop_per_point_lo</t>
        </is>
      </c>
      <c r="B97" s="2" t="n">
        <v>70000</v>
      </c>
      <c r="C97" t="inlineStr">
        <is>
          <t>жит./точка</t>
        </is>
      </c>
      <c r="D97" t="inlineStr">
        <is>
          <t>нижняя граница</t>
        </is>
      </c>
      <c r="E97" t="inlineStr">
        <is>
          <t>оценка</t>
        </is>
      </c>
      <c r="F97" t="inlineStr"/>
    </row>
    <row r="98">
      <c r="A98" t="inlineStr">
        <is>
          <t>pop_per_point_hi</t>
        </is>
      </c>
      <c r="B98" s="2" t="n">
        <v>50000</v>
      </c>
      <c r="C98" t="inlineStr">
        <is>
          <t>жит./точка</t>
        </is>
      </c>
      <c r="D98" t="inlineStr">
        <is>
          <t>верхняя граница (= Казань-2026)</t>
        </is>
      </c>
      <c r="E98" t="inlineStr">
        <is>
          <t>оценка</t>
        </is>
      </c>
      <c r="F98" t="inlineStr"/>
    </row>
    <row r="99">
      <c r="A99" t="inlineStr">
        <is>
          <t>regions_pop</t>
        </is>
      </c>
      <c r="B99" s="2" t="inlineStr">
        <is>
          <t>Гюмри ~112 тыс., Ванадзор ~78 тыс., Абовян ~44 тыс., Вагаршапат ~47 тыс.</t>
        </is>
      </c>
      <c r="C99" t="inlineStr">
        <is>
          <t>чел</t>
        </is>
      </c>
      <c r="D99" t="inlineStr">
        <is>
          <t>ВНЕ ФАЙЛОВ: перепись 2022 (ориентир); в файлах — число парикмахерских 2ГИС 119/3/61/95</t>
        </is>
      </c>
      <c r="E99" t="inlineStr">
        <is>
          <t>допущение</t>
        </is>
      </c>
      <c r="F99" t="inlineStr"/>
    </row>
    <row r="100">
      <c r="A100" t="inlineStr">
        <is>
          <t>own_royalty_min</t>
        </is>
      </c>
      <c r="B100" s="2" t="n">
        <v>50000</v>
      </c>
      <c r="C100" t="inlineStr">
        <is>
          <t>AMD/мес</t>
        </is>
      </c>
      <c r="D100" t="inlineStr">
        <is>
          <t>≈2,3× минимума Чио Чио (21 866 AMD); со 2-го месяца</t>
        </is>
      </c>
      <c r="E100" t="inlineStr">
        <is>
          <t>предложение</t>
        </is>
      </c>
      <c r="F100" t="inlineStr"/>
    </row>
    <row r="101">
      <c r="A101" t="inlineStr">
        <is>
          <t>own_mkt_fund</t>
        </is>
      </c>
      <c r="B101" s="2" t="n">
        <v>0.01</v>
      </c>
      <c r="C101" t="inlineStr">
        <is>
          <t>доля выручки</t>
        </is>
      </c>
      <c r="D101" t="inlineStr">
        <is>
          <t>фонд внутри бюджета маркетинга франчайзи (не сверху)</t>
        </is>
      </c>
      <c r="E101" t="inlineStr">
        <is>
          <t>предложение</t>
        </is>
      </c>
      <c r="F101" t="inlineStr"/>
    </row>
    <row r="102">
      <c r="A102" t="inlineStr">
        <is>
          <t>supply_margin</t>
        </is>
      </c>
      <c r="B102" s="2" t="n">
        <v>0.2</v>
      </c>
      <c r="C102" t="inlineStr">
        <is>
          <t>доля закупок</t>
        </is>
      </c>
      <c r="D102" t="inlineStr">
        <is>
          <t>маржа УК на расходниках</t>
        </is>
      </c>
      <c r="E102" t="inlineStr">
        <is>
          <t>оценка</t>
        </is>
      </c>
      <c r="F102" t="inlineStr"/>
    </row>
    <row r="103">
      <c r="A103" t="inlineStr">
        <is>
          <t>uk_payroll</t>
        </is>
      </c>
      <c r="B103" s="2" t="n">
        <v>800000</v>
      </c>
      <c r="C103" t="inlineStr">
        <is>
          <t>AMD/мес gross</t>
        </is>
      </c>
      <c r="D103" t="inlineStr">
        <is>
          <t>2 чел.: директор сети/запуск 450 тыс., тренер-технолог 350 тыс.</t>
        </is>
      </c>
      <c r="E103" t="inlineStr">
        <is>
          <t>оценка</t>
        </is>
      </c>
      <c r="F103" t="inlineStr"/>
    </row>
    <row r="104">
      <c r="A104" t="inlineStr">
        <is>
          <t>uk_other</t>
        </is>
      </c>
      <c r="B104" s="2" t="n">
        <v>500000</v>
      </c>
      <c r="C104" t="inlineStr">
        <is>
          <t>AMD/мес</t>
        </is>
      </c>
      <c r="D104" t="inlineStr">
        <is>
          <t>офис 100, IT 100, маркетинг бренда/SMM 150, юр./бух. 100, прочее 50 тыс.</t>
        </is>
      </c>
      <c r="E104" t="inlineStr">
        <is>
          <t>оценка</t>
        </is>
      </c>
      <c r="F104" t="inlineStr"/>
    </row>
    <row r="105">
      <c r="A105" t="inlineStr">
        <is>
          <t>uk_setup</t>
        </is>
      </c>
      <c r="B105" s="2" t="n">
        <v>3000000</v>
      </c>
      <c r="C105" t="inlineStr">
        <is>
          <t>AMD</t>
        </is>
      </c>
      <c r="D105" t="inlineStr">
        <is>
          <t>бренд-бук, стандарты, бизнес-бук, обучение, IT (разово)</t>
        </is>
      </c>
      <c r="E105" t="inlineStr">
        <is>
          <t>оценка</t>
        </is>
      </c>
      <c r="F105" t="inlineStr"/>
    </row>
    <row r="106">
      <c r="A106" t="inlineStr">
        <is>
          <t>own_fee</t>
        </is>
      </c>
      <c r="B106" s="2" t="n">
        <v>1000000</v>
      </c>
      <c r="C106" t="inlineStr">
        <is>
          <t>AMD</t>
        </is>
      </c>
      <c r="D106" t="inlineStr">
        <is>
          <t>предложение (пакет «founders» для первых 5–7 договоров): NPV субфранчайзи за 60 мес. &gt; 0 @18%; verification_report.md D.11</t>
        </is>
      </c>
      <c r="E106" t="inlineStr">
        <is>
          <t>предложение</t>
        </is>
      </c>
      <c r="F106" t="inlineStr"/>
    </row>
    <row r="107">
      <c r="A107" t="inlineStr">
        <is>
          <t>own_royalty</t>
        </is>
      </c>
      <c r="B107" s="2" t="n">
        <v>0.03</v>
      </c>
      <c r="C107" t="inlineStr">
        <is>
          <t>доля выручки</t>
        </is>
      </c>
      <c r="D107" t="inlineStr">
        <is>
          <t>предложение: 3%, мин. 50 000 (Чио Чио 4%, Прядки 3%)</t>
        </is>
      </c>
      <c r="E107" t="inlineStr">
        <is>
          <t>предложение</t>
        </is>
      </c>
      <c r="F107" t="inlineStr"/>
    </row>
    <row r="109">
      <c r="A109" s="3" t="inlineStr">
        <is>
          <t>ПАРАМЕТРЫ БАЗОВОГО СЦЕНАРИЯ (жёлтые — вход)</t>
        </is>
      </c>
    </row>
    <row r="110">
      <c r="A110" t="inlineStr">
        <is>
          <t>sc_chairs</t>
        </is>
      </c>
      <c r="B110" s="2" t="n">
        <v>3</v>
      </c>
      <c r="C110" t="inlineStr">
        <is>
          <t>кресел</t>
        </is>
      </c>
    </row>
    <row r="111">
      <c r="A111" t="inlineStr">
        <is>
          <t>sc_masters</t>
        </is>
      </c>
      <c r="B111" s="2" t="n">
        <v>4</v>
      </c>
      <c r="C111" t="inlineStr">
        <is>
          <t>мастеров</t>
        </is>
      </c>
    </row>
    <row r="112">
      <c r="A112" t="inlineStr">
        <is>
          <t>sc_check</t>
        </is>
      </c>
      <c r="B112" s="2">
        <f>Prices!C12</f>
        <v/>
      </c>
      <c r="C112" t="inlineStr">
        <is>
          <t>средний чек (=Prices!C12)</t>
        </is>
      </c>
    </row>
    <row r="113">
      <c r="A113" t="inlineStr">
        <is>
          <t>sc_price_mult</t>
        </is>
      </c>
      <c r="B113" s="2" t="n">
        <v>1</v>
      </c>
      <c r="C113" t="inlineStr">
        <is>
          <t>множитель цены</t>
        </is>
      </c>
    </row>
    <row r="114">
      <c r="A114" t="inlineStr">
        <is>
          <t>sc_load_mature</t>
        </is>
      </c>
      <c r="B114" s="2" t="n">
        <v>0.4</v>
      </c>
      <c r="C114" t="inlineStr">
        <is>
          <t>зрелая загрузка</t>
        </is>
      </c>
    </row>
    <row r="115">
      <c r="A115" t="inlineStr">
        <is>
          <t>sc_rent_sqm</t>
        </is>
      </c>
      <c r="B115" s="2" t="n">
        <v>6500</v>
      </c>
      <c r="C115" t="inlineStr">
        <is>
          <t>AMD/м²</t>
        </is>
      </c>
    </row>
    <row r="116">
      <c r="A116" t="inlineStr">
        <is>
          <t>sc_area</t>
        </is>
      </c>
      <c r="B116" s="2" t="n">
        <v>30</v>
      </c>
      <c r="C116" t="inlineStr">
        <is>
          <t>м²</t>
        </is>
      </c>
    </row>
    <row r="117">
      <c r="A117" t="inlineStr">
        <is>
          <t>sc_fot_share</t>
        </is>
      </c>
      <c r="B117" s="2" t="n">
        <v>0.5</v>
      </c>
      <c r="C117" t="inlineStr">
        <is>
          <t>доля выплат мастерам (схемы a/c)</t>
        </is>
      </c>
    </row>
    <row r="118">
      <c r="A118" t="inlineStr">
        <is>
          <t>sc_fot_documented</t>
        </is>
      </c>
      <c r="B118" s="2" t="n">
        <v>1</v>
      </c>
      <c r="C118" t="inlineStr">
        <is>
          <t>1 = мастера-ИП, выплаты документированы (схема c); 0 = сотрудники</t>
        </is>
      </c>
    </row>
    <row r="119">
      <c r="A119" t="inlineStr">
        <is>
          <t>sc_rent_documented</t>
        </is>
      </c>
      <c r="B119" s="2" t="n">
        <v>0</v>
      </c>
      <c r="C119" t="inlineStr">
        <is>
          <t>1 = арендодатель выдаёт документы</t>
        </is>
      </c>
    </row>
    <row r="120">
      <c r="A120" t="inlineStr">
        <is>
          <t>sc_royalty</t>
        </is>
      </c>
      <c r="B120" s="2" t="n">
        <v>0</v>
      </c>
      <c r="C120" t="inlineStr">
        <is>
          <t>роялти доля</t>
        </is>
      </c>
    </row>
    <row r="121">
      <c r="A121" t="inlineStr">
        <is>
          <t>sc_royalty_min</t>
        </is>
      </c>
      <c r="B121" s="2" t="n">
        <v>0</v>
      </c>
      <c r="C121" t="inlineStr">
        <is>
          <t>роялти минимум</t>
        </is>
      </c>
    </row>
    <row r="122">
      <c r="A122" t="inlineStr">
        <is>
          <t>sc_franchise_fee</t>
        </is>
      </c>
      <c r="B122" s="2" t="n">
        <v>0</v>
      </c>
      <c r="C122" t="inlineStr">
        <is>
          <t>паушальный AMD</t>
        </is>
      </c>
    </row>
    <row r="123">
      <c r="A123" t="inlineStr">
        <is>
          <t>sc_consumables_per_client</t>
        </is>
      </c>
      <c r="B123" s="2" t="n">
        <v>95</v>
      </c>
      <c r="C123" t="inlineStr">
        <is>
          <t>AMD/клиент</t>
        </is>
      </c>
    </row>
    <row r="124">
      <c r="A124" t="inlineStr">
        <is>
          <t>sc_manager</t>
        </is>
      </c>
      <c r="B124" s="2" t="n">
        <v>120000</v>
      </c>
      <c r="C124" t="inlineStr">
        <is>
          <t>управляющий AMD/мес</t>
        </is>
      </c>
    </row>
    <row r="125">
      <c r="A125" t="inlineStr">
        <is>
          <t>sc_capacity_day</t>
        </is>
      </c>
      <c r="B125" s="2">
        <f>Assumptions!$B$110*Assumptions!$B$15*60/Assumptions!$B$13</f>
        <v/>
      </c>
      <c r="C125" t="inlineStr">
        <is>
          <t>ёмкость услуг/день (формула)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Услуга</t>
        </is>
      </c>
      <c r="B1" s="1" t="inlineStr">
        <is>
          <t>Цена A (спальный)</t>
        </is>
      </c>
      <c r="C1" s="1" t="inlineStr">
        <is>
          <t>Цена B (центр)</t>
        </is>
      </c>
      <c r="D1" s="1" t="inlineStr">
        <is>
          <t>Доля в миксе</t>
        </is>
      </c>
      <c r="E1" s="1" t="inlineStr">
        <is>
          <t>Мин/услуга</t>
        </is>
      </c>
      <c r="F1" s="1" t="inlineStr">
        <is>
          <t>Вклад A</t>
        </is>
      </c>
      <c r="G1" s="1" t="inlineStr">
        <is>
          <t>Вклад B</t>
        </is>
      </c>
      <c r="H1" s="1" t="inlineStr">
        <is>
          <t>Чио Чио Казань 2026, ₽</t>
        </is>
      </c>
      <c r="I1" s="1" t="inlineStr">
        <is>
          <t>В AMD по 4,3731</t>
        </is>
      </c>
      <c r="J1" s="1" t="inlineStr">
        <is>
          <t>Доп. услуга</t>
        </is>
      </c>
    </row>
    <row r="2">
      <c r="A2" t="inlineStr">
        <is>
          <t>Мужская стрижка (ножницы/модельная)</t>
        </is>
      </c>
      <c r="B2" s="2" t="n">
        <v>2500</v>
      </c>
      <c r="C2" s="2" t="n">
        <v>3000</v>
      </c>
      <c r="D2" s="2" t="n">
        <v>0.4</v>
      </c>
      <c r="E2" s="2" t="n">
        <v>20</v>
      </c>
      <c r="F2">
        <f>B2*D2</f>
        <v/>
      </c>
      <c r="G2">
        <f>C2*D2</f>
        <v/>
      </c>
      <c r="H2" t="n">
        <v>700</v>
      </c>
      <c r="I2">
        <f>H2*Assumptions!$B$3</f>
        <v/>
      </c>
      <c r="J2" t="n">
        <v>0</v>
      </c>
    </row>
    <row r="3">
      <c r="A3" t="inlineStr">
        <is>
          <t>Стрижка машинкой (одна длина)</t>
        </is>
      </c>
      <c r="B3" s="2" t="n">
        <v>2000</v>
      </c>
      <c r="C3" s="2" t="n">
        <v>2500</v>
      </c>
      <c r="D3" s="2" t="n">
        <v>0.2</v>
      </c>
      <c r="E3" s="2" t="n">
        <v>15</v>
      </c>
      <c r="F3">
        <f>B3*D3</f>
        <v/>
      </c>
      <c r="G3">
        <f>C3*D3</f>
        <v/>
      </c>
      <c r="H3" t="n">
        <v>500</v>
      </c>
      <c r="I3">
        <f>H3*Assumptions!$B$3</f>
        <v/>
      </c>
      <c r="J3" t="n">
        <v>0</v>
      </c>
    </row>
    <row r="4">
      <c r="A4" t="inlineStr">
        <is>
          <t>Детская стрижка (до 12 лет)</t>
        </is>
      </c>
      <c r="B4" s="2" t="n">
        <v>2000</v>
      </c>
      <c r="C4" s="2" t="n">
        <v>2500</v>
      </c>
      <c r="D4" s="2" t="n">
        <v>0.12</v>
      </c>
      <c r="E4" s="2" t="n">
        <v>15</v>
      </c>
      <c r="F4">
        <f>B4*D4</f>
        <v/>
      </c>
      <c r="G4">
        <f>C4*D4</f>
        <v/>
      </c>
      <c r="H4" t="n">
        <v>500</v>
      </c>
      <c r="I4">
        <f>H4*Assumptions!$B$3</f>
        <v/>
      </c>
      <c r="J4" t="n">
        <v>0</v>
      </c>
    </row>
    <row r="5">
      <c r="A5" t="inlineStr">
        <is>
          <t>Женская стрижка короткая</t>
        </is>
      </c>
      <c r="B5" s="2" t="n">
        <v>2500</v>
      </c>
      <c r="C5" s="2" t="n">
        <v>3000</v>
      </c>
      <c r="D5" s="2" t="n">
        <v>0.08</v>
      </c>
      <c r="E5" s="2" t="n">
        <v>20</v>
      </c>
      <c r="F5">
        <f>B5*D5</f>
        <v/>
      </c>
      <c r="G5">
        <f>C5*D5</f>
        <v/>
      </c>
      <c r="H5" t="n">
        <v>800</v>
      </c>
      <c r="I5">
        <f>H5*Assumptions!$B$3</f>
        <v/>
      </c>
      <c r="J5" t="n">
        <v>0</v>
      </c>
    </row>
    <row r="6">
      <c r="A6" t="inlineStr">
        <is>
          <t>Женская стрижка длинная (без укладки)</t>
        </is>
      </c>
      <c r="B6" s="2" t="n">
        <v>3500</v>
      </c>
      <c r="C6" s="2" t="n">
        <v>4000</v>
      </c>
      <c r="D6" s="2" t="n">
        <v>0.05</v>
      </c>
      <c r="E6" s="2" t="n">
        <v>30</v>
      </c>
      <c r="F6">
        <f>B6*D6</f>
        <v/>
      </c>
      <c r="G6">
        <f>C6*D6</f>
        <v/>
      </c>
      <c r="H6" t="n">
        <v>800</v>
      </c>
      <c r="I6">
        <f>H6*Assumptions!$B$3</f>
        <v/>
      </c>
      <c r="J6" t="n">
        <v>0</v>
      </c>
    </row>
    <row r="7">
      <c r="A7" t="inlineStr">
        <is>
          <t>Борода / контур (доп. к визиту)</t>
        </is>
      </c>
      <c r="B7" s="2" t="n">
        <v>1500</v>
      </c>
      <c r="C7" s="2" t="n">
        <v>2000</v>
      </c>
      <c r="D7" s="2" t="n">
        <v>0.08</v>
      </c>
      <c r="E7" s="2" t="n">
        <v>10</v>
      </c>
      <c r="F7">
        <f>B7*D7</f>
        <v/>
      </c>
      <c r="G7">
        <f>C7*D7</f>
        <v/>
      </c>
      <c r="H7" t="n">
        <v>300</v>
      </c>
      <c r="I7">
        <f>H7*Assumptions!$B$3</f>
        <v/>
      </c>
      <c r="J7" t="n">
        <v>1</v>
      </c>
    </row>
    <row r="8">
      <c r="A8" t="inlineStr">
        <is>
          <t>Укладка феном без мытья (доп.)</t>
        </is>
      </c>
      <c r="B8" s="2" t="n">
        <v>1500</v>
      </c>
      <c r="C8" s="2" t="n">
        <v>2000</v>
      </c>
      <c r="D8" s="2" t="n">
        <v>0.04</v>
      </c>
      <c r="E8" s="2" t="n">
        <v>15</v>
      </c>
      <c r="F8">
        <f>B8*D8</f>
        <v/>
      </c>
      <c r="G8">
        <f>C8*D8</f>
        <v/>
      </c>
      <c r="J8" t="n">
        <v>1</v>
      </c>
    </row>
    <row r="9">
      <c r="A9" t="inlineStr">
        <is>
          <t>Окрашивание корней (опция, 1 тон)</t>
        </is>
      </c>
      <c r="B9" s="2" t="n">
        <v>5000</v>
      </c>
      <c r="C9" s="2" t="n">
        <v>6000</v>
      </c>
      <c r="D9" s="2" t="n">
        <v>0.03</v>
      </c>
      <c r="E9" s="2" t="n">
        <v>45</v>
      </c>
      <c r="F9">
        <f>B9*D9</f>
        <v/>
      </c>
      <c r="G9">
        <f>C9*D9</f>
        <v/>
      </c>
      <c r="H9" t="n">
        <v>2000</v>
      </c>
      <c r="I9">
        <f>H9*Assumptions!$B$3</f>
        <v/>
      </c>
      <c r="J9" t="n">
        <v>0</v>
      </c>
    </row>
    <row r="11">
      <c r="A11" t="inlineStr">
        <is>
          <t>Сумма долей</t>
        </is>
      </c>
      <c r="D11">
        <f>SUM(D2:D9)</f>
        <v/>
      </c>
    </row>
    <row r="12">
      <c r="A12" t="inlineStr">
        <is>
          <t>СРЕДНИЙ ЧЕК за услугу, AMD</t>
        </is>
      </c>
      <c r="C12">
        <f>SUM(F2:F9)</f>
        <v/>
      </c>
      <c r="G12">
        <f>SUM(G2:G9)</f>
        <v/>
      </c>
    </row>
    <row r="13">
      <c r="A13" t="inlineStr">
        <is>
          <t>Средний чек в USD</t>
        </is>
      </c>
      <c r="C13">
        <f>C12/Assumptions!$B$2</f>
        <v/>
      </c>
      <c r="G13">
        <f>G12/Assumptions!$B$2</f>
        <v/>
      </c>
    </row>
    <row r="14">
      <c r="A14" t="inlineStr">
        <is>
          <t>Средний чек в RUB</t>
        </is>
      </c>
      <c r="C14">
        <f>C12/Assumptions!$B$3</f>
        <v/>
      </c>
      <c r="G14">
        <f>G12/Assumptions!$B$3</f>
        <v/>
      </c>
    </row>
    <row r="15">
      <c r="A15" t="inlineStr">
        <is>
          <t>Средневзвеш. мин/услуга</t>
        </is>
      </c>
      <c r="C15">
        <f>SUMPRODUCT(D2:D9,E2:E9)</f>
        <v/>
      </c>
    </row>
    <row r="16">
      <c r="A16" t="inlineStr">
        <is>
          <t>Доля доп. услуг</t>
        </is>
      </c>
      <c r="C16">
        <f>SUMPRODUCT(D2:D9,J2:J9)</f>
        <v/>
      </c>
    </row>
    <row r="17">
      <c r="A17" t="inlineStr">
        <is>
          <t>Средний чек за ВИЗИТ, AMD</t>
        </is>
      </c>
      <c r="C17">
        <f>C12/(1-C16)</f>
        <v/>
      </c>
      <c r="G17">
        <f>G12/(1-C16)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  <col width="20" customWidth="1" min="4" max="4"/>
    <col width="26" customWidth="1" min="5" max="5"/>
    <col width="18" customWidth="1" min="6" max="6"/>
  </cols>
  <sheetData>
    <row r="1">
      <c r="A1" s="1" t="inlineStr">
        <is>
          <t>Статья</t>
        </is>
      </c>
      <c r="B1" s="1" t="inlineStr">
        <is>
          <t>Своя сеть 40 м² (AMD)</t>
        </is>
      </c>
      <c r="C1" s="1" t="inlineStr">
        <is>
          <t>Чио Чио «Лайт»</t>
        </is>
      </c>
      <c r="D1" s="1" t="inlineStr">
        <is>
          <t>Чио Чио стандарт</t>
        </is>
      </c>
      <c r="E1" s="1" t="inlineStr">
        <is>
          <t>Своя сеть 25 м², 2 кресла</t>
        </is>
      </c>
      <c r="F1" s="1" t="inlineStr">
        <is>
          <t>Своя сеть 40 м², USD</t>
        </is>
      </c>
    </row>
    <row r="2">
      <c r="A2" t="inlineStr">
        <is>
          <t>Ремонт/отделка</t>
        </is>
      </c>
      <c r="B2">
        <f>Assumptions!$B$116*Assumptions!$B$69</f>
        <v/>
      </c>
      <c r="C2">
        <f>Assumptions!$B$116*Assumptions!$B$69</f>
        <v/>
      </c>
      <c r="D2">
        <f>Assumptions!$B$116*Assumptions!$B$69</f>
        <v/>
      </c>
      <c r="E2">
        <f>25*Assumptions!$B$69</f>
        <v/>
      </c>
      <c r="F2">
        <f>B2/Assumptions!$B$2</f>
        <v/>
      </c>
    </row>
    <row r="3">
      <c r="A3" t="inlineStr">
        <is>
          <t>Кресла</t>
        </is>
      </c>
      <c r="B3">
        <f>Assumptions!$B$110*Assumptions!$B$70</f>
        <v/>
      </c>
      <c r="C3">
        <f>Assumptions!$B$110*Assumptions!$B$70</f>
        <v/>
      </c>
      <c r="D3">
        <f>Assumptions!$B$110*Assumptions!$B$70</f>
        <v/>
      </c>
      <c r="E3">
        <f>2*Assumptions!$B$70</f>
        <v/>
      </c>
      <c r="F3">
        <f>B3/Assumptions!$B$2</f>
        <v/>
      </c>
    </row>
    <row r="4">
      <c r="A4" t="inlineStr">
        <is>
          <t>Рабочие посты</t>
        </is>
      </c>
      <c r="B4">
        <f>Assumptions!$B$110*Assumptions!$B$71</f>
        <v/>
      </c>
      <c r="C4">
        <f>Assumptions!$B$110*Assumptions!$B$71</f>
        <v/>
      </c>
      <c r="D4">
        <f>Assumptions!$B$110*Assumptions!$B$71</f>
        <v/>
      </c>
      <c r="E4">
        <f>2*Assumptions!$B$71</f>
        <v/>
      </c>
      <c r="F4">
        <f>B4/Assumptions!$B$2</f>
        <v/>
      </c>
    </row>
    <row r="5">
      <c r="A5" t="inlineStr">
        <is>
          <t>Мойка</t>
        </is>
      </c>
      <c r="B5">
        <f>Assumptions!$B$72</f>
        <v/>
      </c>
      <c r="C5">
        <f>Assumptions!$B$72</f>
        <v/>
      </c>
      <c r="D5">
        <f>Assumptions!$B$72</f>
        <v/>
      </c>
      <c r="E5">
        <f>Assumptions!$B$72</f>
        <v/>
      </c>
      <c r="F5">
        <f>B5/Assumptions!$B$2</f>
        <v/>
      </c>
    </row>
    <row r="6">
      <c r="A6" t="inlineStr">
        <is>
          <t>Вакуумные аппараты × 2</t>
        </is>
      </c>
      <c r="B6">
        <f>2*Assumptions!$B$73</f>
        <v/>
      </c>
      <c r="C6">
        <f>2*Assumptions!$B$73</f>
        <v/>
      </c>
      <c r="D6">
        <f>2*Assumptions!$B$73</f>
        <v/>
      </c>
      <c r="E6">
        <f>2*Assumptions!$B$73</f>
        <v/>
      </c>
      <c r="F6">
        <f>B6/Assumptions!$B$2</f>
        <v/>
      </c>
    </row>
    <row r="7">
      <c r="A7" t="inlineStr">
        <is>
          <t>Инструмент/техника</t>
        </is>
      </c>
      <c r="B7">
        <f>Assumptions!$B$110*Assumptions!$B$74</f>
        <v/>
      </c>
      <c r="C7">
        <f>Assumptions!$B$110*Assumptions!$B$74</f>
        <v/>
      </c>
      <c r="D7">
        <f>Assumptions!$B$110*Assumptions!$B$74</f>
        <v/>
      </c>
      <c r="E7">
        <f>2*Assumptions!$B$74</f>
        <v/>
      </c>
      <c r="F7">
        <f>B7/Assumptions!$B$2</f>
        <v/>
      </c>
    </row>
    <row r="8">
      <c r="A8" t="inlineStr">
        <is>
          <t>НДС 20% на ввоз оборудования [v2]</t>
        </is>
      </c>
      <c r="B8">
        <f>(Assumptions!$B$110*Assumptions!$B$70+Assumptions!$B$72+2*Assumptions!$B$73+Assumptions!$B$110*Assumptions!$B$74)*Assumptions!$B$75</f>
        <v/>
      </c>
      <c r="C8">
        <f>(Assumptions!$B$110*Assumptions!$B$70+Assumptions!$B$72+2*Assumptions!$B$73+Assumptions!$B$110*Assumptions!$B$74)*Assumptions!$B$75</f>
        <v/>
      </c>
      <c r="D8">
        <f>(Assumptions!$B$110*Assumptions!$B$70+Assumptions!$B$72+2*Assumptions!$B$73+Assumptions!$B$110*Assumptions!$B$74)*Assumptions!$B$75</f>
        <v/>
      </c>
      <c r="E8">
        <f>(2*Assumptions!$B$70+Assumptions!$B$72+2*Assumptions!$B$73+2*Assumptions!$B$74)*Assumptions!$B$75</f>
        <v/>
      </c>
      <c r="F8">
        <f>B8/Assumptions!$B$2</f>
        <v/>
      </c>
    </row>
    <row r="9">
      <c r="A9" t="inlineStr">
        <is>
          <t>Кондиционеры + вентиляция [v2]</t>
        </is>
      </c>
      <c r="B9">
        <f>Assumptions!$B$77</f>
        <v/>
      </c>
      <c r="C9">
        <f>Assumptions!$B$77</f>
        <v/>
      </c>
      <c r="D9">
        <f>Assumptions!$B$77</f>
        <v/>
      </c>
      <c r="E9">
        <f>Assumptions!$B$77</f>
        <v/>
      </c>
      <c r="F9">
        <f>B9/Assumptions!$B$2</f>
        <v/>
      </c>
    </row>
    <row r="10">
      <c r="A10" t="inlineStr">
        <is>
          <t>Водонагреватель [v2]</t>
        </is>
      </c>
      <c r="B10">
        <f>Assumptions!$B$78</f>
        <v/>
      </c>
      <c r="C10">
        <f>Assumptions!$B$78</f>
        <v/>
      </c>
      <c r="D10">
        <f>Assumptions!$B$78</f>
        <v/>
      </c>
      <c r="E10">
        <f>Assumptions!$B$78</f>
        <v/>
      </c>
      <c r="F10">
        <f>B10/Assumptions!$B$2</f>
        <v/>
      </c>
    </row>
    <row r="11">
      <c r="A11" t="inlineStr">
        <is>
          <t>Стерилизатор</t>
        </is>
      </c>
      <c r="B11">
        <f>Assumptions!$B$76</f>
        <v/>
      </c>
      <c r="C11">
        <f>Assumptions!$B$76</f>
        <v/>
      </c>
      <c r="D11">
        <f>Assumptions!$B$76</f>
        <v/>
      </c>
      <c r="E11">
        <f>Assumptions!$B$76</f>
        <v/>
      </c>
      <c r="F11">
        <f>B11/Assumptions!$B$2</f>
        <v/>
      </c>
    </row>
    <row r="12">
      <c r="A12" t="inlineStr">
        <is>
          <t>Мебель ожидания/стойка</t>
        </is>
      </c>
      <c r="B12">
        <f>Assumptions!$B$79</f>
        <v/>
      </c>
      <c r="C12">
        <f>Assumptions!$B$79</f>
        <v/>
      </c>
      <c r="D12">
        <f>Assumptions!$B$79</f>
        <v/>
      </c>
      <c r="E12">
        <f>Assumptions!$B$79</f>
        <v/>
      </c>
      <c r="F12">
        <f>B12/Assumptions!$B$2</f>
        <v/>
      </c>
    </row>
    <row r="13">
      <c r="A13" t="inlineStr">
        <is>
          <t>Вывеска</t>
        </is>
      </c>
      <c r="B13">
        <f>Assumptions!$B$80</f>
        <v/>
      </c>
      <c r="C13">
        <f>Assumptions!$B$80</f>
        <v/>
      </c>
      <c r="D13">
        <f>Assumptions!$B$80</f>
        <v/>
      </c>
      <c r="E13">
        <f>Assumptions!$B$80</f>
        <v/>
      </c>
      <c r="F13">
        <f>B13/Assumptions!$B$2</f>
        <v/>
      </c>
    </row>
    <row r="14">
      <c r="A14" t="inlineStr">
        <is>
          <t>Согласование вывески (оценка) [v2]</t>
        </is>
      </c>
      <c r="B14">
        <f>Assumptions!$B$81</f>
        <v/>
      </c>
      <c r="C14">
        <f>Assumptions!$B$81</f>
        <v/>
      </c>
      <c r="D14">
        <f>Assumptions!$B$81</f>
        <v/>
      </c>
      <c r="E14">
        <f>Assumptions!$B$81</f>
        <v/>
      </c>
      <c r="F14">
        <f>B14/Assumptions!$B$2</f>
        <v/>
      </c>
    </row>
    <row r="15">
      <c r="A15" t="inlineStr">
        <is>
          <t>Брендинг интерьера</t>
        </is>
      </c>
      <c r="B15">
        <f>Assumptions!$B$82</f>
        <v/>
      </c>
      <c r="C15">
        <f>Assumptions!$B$82</f>
        <v/>
      </c>
      <c r="D15">
        <f>Assumptions!$B$82</f>
        <v/>
      </c>
      <c r="E15">
        <f>Assumptions!$B$82</f>
        <v/>
      </c>
      <c r="F15">
        <f>B15/Assumptions!$B$2</f>
        <v/>
      </c>
    </row>
    <row r="16">
      <c r="A16" t="inlineStr">
        <is>
          <t>Киоск/ПК/камеры</t>
        </is>
      </c>
      <c r="B16">
        <f>Assumptions!$B$83</f>
        <v/>
      </c>
      <c r="C16">
        <f>Assumptions!$B$83</f>
        <v/>
      </c>
      <c r="D16">
        <f>Assumptions!$B$83</f>
        <v/>
      </c>
      <c r="E16">
        <f>Assumptions!$B$83</f>
        <v/>
      </c>
      <c r="F16">
        <f>B16/Assumptions!$B$2</f>
        <v/>
      </c>
    </row>
    <row r="17">
      <c r="A17" t="inlineStr">
        <is>
          <t>Касса e-HDM</t>
        </is>
      </c>
      <c r="B17">
        <f>Assumptions!$B$43</f>
        <v/>
      </c>
      <c r="C17">
        <f>Assumptions!$B$43</f>
        <v/>
      </c>
      <c r="D17">
        <f>Assumptions!$B$43</f>
        <v/>
      </c>
      <c r="E17">
        <f>Assumptions!$B$43</f>
        <v/>
      </c>
      <c r="F17">
        <f>B17/Assumptions!$B$2</f>
        <v/>
      </c>
    </row>
    <row r="18">
      <c r="A18" s="3" t="inlineStr">
        <is>
          <t>Итого hard-CAPEX</t>
        </is>
      </c>
      <c r="B18">
        <f>SUM(B2:B17)</f>
        <v/>
      </c>
      <c r="C18">
        <f>SUM(C2:C17)</f>
        <v/>
      </c>
      <c r="D18">
        <f>SUM(D2:D17)</f>
        <v/>
      </c>
      <c r="E18">
        <f>SUM(E2:E17)</f>
        <v/>
      </c>
      <c r="F18">
        <f>B18/Assumptions!$B$2</f>
        <v/>
      </c>
    </row>
    <row r="19">
      <c r="A19" t="inlineStr">
        <is>
          <t>Непредвиденное 15% [v2]</t>
        </is>
      </c>
      <c r="B19">
        <f>B18*Assumptions!$B$90</f>
        <v/>
      </c>
      <c r="C19">
        <f>C18*Assumptions!$B$90</f>
        <v/>
      </c>
      <c r="D19">
        <f>D18*Assumptions!$B$90</f>
        <v/>
      </c>
      <c r="E19">
        <f>E18*Assumptions!$B$90</f>
        <v/>
      </c>
      <c r="F19">
        <f>B19/Assumptions!$B$2</f>
        <v/>
      </c>
    </row>
    <row r="20">
      <c r="A20" t="inlineStr">
        <is>
          <t>CRM/сайт</t>
        </is>
      </c>
      <c r="B20">
        <f>Assumptions!$B$84</f>
        <v/>
      </c>
      <c r="C20">
        <f>Assumptions!$B$84</f>
        <v/>
      </c>
      <c r="D20">
        <f>Assumptions!$B$84</f>
        <v/>
      </c>
      <c r="E20">
        <f>Assumptions!$B$84</f>
        <v/>
      </c>
      <c r="F20">
        <f>B20/Assumptions!$B$2</f>
        <v/>
      </c>
    </row>
    <row r="21">
      <c r="A21" t="inlineStr">
        <is>
          <t>Стажировка мастеров [v2]</t>
        </is>
      </c>
      <c r="B21">
        <f>Assumptions!$B$85</f>
        <v/>
      </c>
      <c r="C21">
        <f>Assumptions!$B$85</f>
        <v/>
      </c>
      <c r="D21">
        <f>Assumptions!$B$85</f>
        <v/>
      </c>
      <c r="E21">
        <f>Assumptions!$B$85</f>
        <v/>
      </c>
      <c r="F21">
        <f>B21/Assumptions!$B$2</f>
        <v/>
      </c>
    </row>
    <row r="22">
      <c r="A22" t="inlineStr">
        <is>
          <t>Регистрация ИП</t>
        </is>
      </c>
      <c r="B22">
        <f>Assumptions!$B$86</f>
        <v/>
      </c>
      <c r="C22">
        <f>Assumptions!$B$86</f>
        <v/>
      </c>
      <c r="D22">
        <f>Assumptions!$B$86</f>
        <v/>
      </c>
      <c r="E22">
        <f>Assumptions!$B$86</f>
        <v/>
      </c>
      <c r="F22">
        <f>B22/Assumptions!$B$2</f>
        <v/>
      </c>
    </row>
    <row r="23">
      <c r="A23" t="inlineStr">
        <is>
          <t>Юр./налоговое оформление</t>
        </is>
      </c>
      <c r="B23">
        <f>Assumptions!$B$87</f>
        <v/>
      </c>
      <c r="C23">
        <f>Assumptions!$B$87</f>
        <v/>
      </c>
      <c r="D23">
        <f>Assumptions!$B$87</f>
        <v/>
      </c>
      <c r="E23">
        <f>Assumptions!$B$87</f>
        <v/>
      </c>
      <c r="F23">
        <f>B23/Assumptions!$B$2</f>
        <v/>
      </c>
    </row>
    <row r="24">
      <c r="A24" t="inlineStr">
        <is>
          <t>Медкнижки</t>
        </is>
      </c>
      <c r="B24">
        <f>Assumptions!$B$88</f>
        <v/>
      </c>
      <c r="C24">
        <f>Assumptions!$B$88</f>
        <v/>
      </c>
      <c r="D24">
        <f>Assumptions!$B$88</f>
        <v/>
      </c>
      <c r="E24">
        <f>Assumptions!$B$88*3/4</f>
        <v/>
      </c>
      <c r="F24">
        <f>B24/Assumptions!$B$2</f>
        <v/>
      </c>
    </row>
    <row r="25">
      <c r="A25" t="inlineStr">
        <is>
          <t>Аренда за период ремонта [v2]</t>
        </is>
      </c>
      <c r="B25">
        <f>Assumptions!$B$29*Assumptions!$B$115*Assumptions!$B$116</f>
        <v/>
      </c>
      <c r="C25">
        <f>Assumptions!$B$29*Assumptions!$B$115*Assumptions!$B$116</f>
        <v/>
      </c>
      <c r="D25">
        <f>Assumptions!$B$29*Assumptions!$B$115*Assumptions!$B$116</f>
        <v/>
      </c>
      <c r="E25">
        <f>Assumptions!$B$29*Assumptions!$B$115*25</f>
        <v/>
      </c>
      <c r="F25">
        <f>B25/Assumptions!$B$2</f>
        <v/>
      </c>
    </row>
    <row r="26">
      <c r="A26" t="inlineStr">
        <is>
          <t>Депозит аренды</t>
        </is>
      </c>
      <c r="B26">
        <f>Assumptions!$B$28*Assumptions!$B$115*Assumptions!$B$116</f>
        <v/>
      </c>
      <c r="C26">
        <f>Assumptions!$B$28*Assumptions!$B$115*Assumptions!$B$116</f>
        <v/>
      </c>
      <c r="D26">
        <f>Assumptions!$B$28*Assumptions!$B$115*Assumptions!$B$116</f>
        <v/>
      </c>
      <c r="E26">
        <f>Assumptions!$B$28*Assumptions!$B$115*25</f>
        <v/>
      </c>
      <c r="F26">
        <f>B26/Assumptions!$B$2</f>
        <v/>
      </c>
    </row>
    <row r="27">
      <c r="A27" t="inlineStr">
        <is>
          <t>Маркетинг открытия</t>
        </is>
      </c>
      <c r="B27">
        <f>Assumptions!$B$89</f>
        <v/>
      </c>
      <c r="C27">
        <f>Assumptions!$B$89</f>
        <v/>
      </c>
      <c r="D27">
        <f>Assumptions!$B$89</f>
        <v/>
      </c>
      <c r="E27">
        <f>Assumptions!$B$89</f>
        <v/>
      </c>
      <c r="F27">
        <f>B27/Assumptions!$B$2</f>
        <v/>
      </c>
    </row>
    <row r="28">
      <c r="A28" t="inlineStr">
        <is>
          <t>Паушальный взнос</t>
        </is>
      </c>
      <c r="B28" t="inlineStr">
        <is>
          <t>0</t>
        </is>
      </c>
      <c r="C28">
        <f>Assumptions!$B$66*Assumptions!$B$3</f>
        <v/>
      </c>
      <c r="D28">
        <f>Assumptions!$B$67*Assumptions!$B$3</f>
        <v/>
      </c>
      <c r="E28" t="inlineStr">
        <is>
          <t>0</t>
        </is>
      </c>
      <c r="F28">
        <f>B28/Assumptions!$B$2</f>
        <v/>
      </c>
    </row>
    <row r="29">
      <c r="A29" s="3" t="inlineStr">
        <is>
          <t>ИТОГО CAPEX</t>
        </is>
      </c>
      <c r="B29">
        <f>B18+SUM(B19:B28)</f>
        <v/>
      </c>
      <c r="C29">
        <f>C18+SUM(C19:C28)</f>
        <v/>
      </c>
      <c r="D29">
        <f>D18+SUM(D19:D28)</f>
        <v/>
      </c>
      <c r="E29">
        <f>E18+SUM(E19:E28)</f>
        <v/>
      </c>
      <c r="F29">
        <f>B29/Assumptions!$B$2</f>
        <v/>
      </c>
    </row>
    <row r="30">
      <c r="A30" t="inlineStr">
        <is>
          <t>Итого CAPEX, USD</t>
        </is>
      </c>
      <c r="B30">
        <f>B29/Assumptions!$B$2</f>
        <v/>
      </c>
      <c r="C30">
        <f>C29/Assumptions!$B$2</f>
        <v/>
      </c>
      <c r="D30">
        <f>D29/Assumptions!$B$2</f>
        <v/>
      </c>
      <c r="E30">
        <f>E29/Assumptions!$B$2</f>
        <v/>
      </c>
    </row>
    <row r="31">
      <c r="A31" t="inlineStr">
        <is>
          <t>Итого CAPEX, RUB</t>
        </is>
      </c>
      <c r="B31">
        <f>B29/Assumptions!$B$3</f>
        <v/>
      </c>
      <c r="C31">
        <f>C29/Assumptions!$B$3</f>
        <v/>
      </c>
      <c r="D31">
        <f>D29/Assumptions!$B$3</f>
        <v/>
      </c>
      <c r="E31">
        <f>E29/Assumptions!$B$3</f>
        <v/>
      </c>
    </row>
    <row r="32">
      <c r="A32" t="inlineStr">
        <is>
          <t>Амортизируемая база (hard + непредвиденное + CRM + паушальный)</t>
        </is>
      </c>
      <c r="B32">
        <f>B18+B19+B20</f>
        <v/>
      </c>
      <c r="C32">
        <f>C18+C19+C20+C28</f>
        <v/>
      </c>
      <c r="D32">
        <f>D18+D19+D20+D28</f>
        <v/>
      </c>
      <c r="E32">
        <f>E18+E19+E20</f>
        <v/>
      </c>
    </row>
    <row r="33">
      <c r="A33" t="inlineStr">
        <is>
          <t>Оборотный резерв на стресс ramp-up (значение из Python; не входит в CAPEX)</t>
        </is>
      </c>
      <c r="B33" t="n">
        <v>2880170</v>
      </c>
      <c r="C33" t="n">
        <v>2994904</v>
      </c>
      <c r="D33" t="n">
        <v>2994904</v>
      </c>
      <c r="E33" t="n">
        <v>3217019</v>
      </c>
    </row>
    <row r="34">
      <c r="A34" t="inlineStr">
        <is>
          <t>ПОТРЕБНОСТЬ В ФИНАНСИРОВАНИИ = CAPEX + резерв</t>
        </is>
      </c>
      <c r="B34">
        <f>B29+B33</f>
        <v/>
      </c>
      <c r="C34">
        <f>C29+C33</f>
        <v/>
      </c>
      <c r="D34">
        <f>D29+D33</f>
        <v/>
      </c>
      <c r="E34">
        <f>E29+E33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4" t="inlineStr">
        <is>
          <t>Мес.</t>
        </is>
      </c>
      <c r="B1" s="4" t="inlineStr">
        <is>
          <t>Индекс цен</t>
        </is>
      </c>
      <c r="C1" s="4" t="inlineStr">
        <is>
          <t>Загрузка</t>
        </is>
      </c>
      <c r="D1" s="4" t="inlineStr">
        <is>
          <t>Услуг/день</t>
        </is>
      </c>
      <c r="E1" s="4" t="inlineStr">
        <is>
          <t>Средний чек</t>
        </is>
      </c>
      <c r="F1" s="4" t="inlineStr">
        <is>
          <t>ВЫРУЧКА</t>
        </is>
      </c>
      <c r="G1" s="4" t="inlineStr">
        <is>
          <t>Выплаты мастерам</t>
        </is>
      </c>
      <c r="H1" s="4" t="inlineStr">
        <is>
          <t>Аренда</t>
        </is>
      </c>
      <c r="I1" s="4" t="inlineStr">
        <is>
          <t>Управл.+уборка</t>
        </is>
      </c>
      <c r="J1" s="4" t="inlineStr">
        <is>
          <t>Расходники</t>
        </is>
      </c>
      <c r="K1" s="4" t="inlineStr">
        <is>
          <t>Коммуналка</t>
        </is>
      </c>
      <c r="L1" s="4" t="inlineStr">
        <is>
          <t>IT/связь</t>
        </is>
      </c>
      <c r="M1" s="4" t="inlineStr">
        <is>
          <t>Касса</t>
        </is>
      </c>
      <c r="N1" s="4" t="inlineStr">
        <is>
          <t>Эквайринг</t>
        </is>
      </c>
      <c r="O1" s="4" t="inlineStr">
        <is>
          <t>Маркетинг</t>
        </is>
      </c>
      <c r="P1" s="4" t="inlineStr">
        <is>
          <t>Бухгалтерия</t>
        </is>
      </c>
      <c r="Q1" s="4" t="inlineStr">
        <is>
          <t>Прочее</t>
        </is>
      </c>
      <c r="R1" s="4" t="inlineStr">
        <is>
          <t>Роялти</t>
        </is>
      </c>
      <c r="S1" s="4" t="inlineStr">
        <is>
          <t>Документ. расходы</t>
        </is>
      </c>
      <c r="T1" s="4" t="inlineStr">
        <is>
          <t>Налог с оборота</t>
        </is>
      </c>
      <c r="U1" s="4" t="inlineStr">
        <is>
          <t>Фиксы ИП</t>
        </is>
      </c>
      <c r="V1" s="4" t="inlineStr">
        <is>
          <t>ИТОГО РАСХОДЫ</t>
        </is>
      </c>
      <c r="W1" s="4" t="inlineStr">
        <is>
          <t>EBITDA</t>
        </is>
      </c>
      <c r="X1" s="4" t="inlineStr">
        <is>
          <t>Амортизация</t>
        </is>
      </c>
      <c r="Y1" s="4" t="inlineStr">
        <is>
          <t>ЧИСТАЯ ПРИБЫЛЬ</t>
        </is>
      </c>
      <c r="Z1" s="4" t="inlineStr">
        <is>
          <t>CF</t>
        </is>
      </c>
      <c r="AA1" s="4" t="inlineStr">
        <is>
          <t>Накопл. CF</t>
        </is>
      </c>
      <c r="AB1" s="4" t="inlineStr">
        <is>
          <t>Дисконт-фактор</t>
        </is>
      </c>
      <c r="AC1" s="4" t="inlineStr">
        <is>
          <t>Накопл. DCF</t>
        </is>
      </c>
    </row>
    <row r="2">
      <c r="A2" t="n">
        <v>0</v>
      </c>
      <c r="Z2">
        <f>-CAPEX!$B$29</f>
        <v/>
      </c>
      <c r="AA2">
        <f>Z2</f>
        <v/>
      </c>
      <c r="AB2" t="n">
        <v>1</v>
      </c>
      <c r="AC2">
        <f>Z2</f>
        <v/>
      </c>
    </row>
    <row r="3">
      <c r="A3" t="n">
        <v>1</v>
      </c>
      <c r="B3">
        <f>(1+Assumptions!$B$4)^INT((A3-1)/12)</f>
        <v/>
      </c>
      <c r="C3">
        <f>MIN(0.95,0.28*Assumptions!$B$114)</f>
        <v/>
      </c>
      <c r="D3">
        <f>C3*Assumptions!$B$125</f>
        <v/>
      </c>
      <c r="E3">
        <f>Assumptions!$B$112*Assumptions!$B$113*B3</f>
        <v/>
      </c>
      <c r="F3">
        <f>D3*E3*Assumptions!$B$16</f>
        <v/>
      </c>
      <c r="G3">
        <f>MAX(Assumptions!$B$117*F3,Assumptions!$B$111*Assumptions!$B$32*B3)</f>
        <v/>
      </c>
      <c r="H3">
        <f>Assumptions!$B$115*Assumptions!$B$116*B3</f>
        <v/>
      </c>
      <c r="I3">
        <f>(Assumptions!$B$124+Assumptions!$B$36)*B3</f>
        <v/>
      </c>
      <c r="J3">
        <f>MAX(Assumptions!$B$123*B3*D3*Assumptions!$B$16,Assumptions!$B$39*B3)</f>
        <v/>
      </c>
      <c r="K3">
        <f>Assumptions!$B$40*B3</f>
        <v/>
      </c>
      <c r="L3">
        <f>Assumptions!$B$41*B3</f>
        <v/>
      </c>
      <c r="M3">
        <f>Assumptions!$B$42</f>
        <v/>
      </c>
      <c r="N3">
        <f>F3*Assumptions!$B$44*Assumptions!$B$45+Assumptions!$B$46</f>
        <v/>
      </c>
      <c r="O3">
        <f>IF(A3&lt;=12,MAX(Assumptions!$B$47*F3,Assumptions!$B$48*B3),MAX(Assumptions!$B$49*F3,Assumptions!$B$50*B3))</f>
        <v/>
      </c>
      <c r="P3">
        <f>(Assumptions!$B$51+IF(Assumptions!$B$118=1,Assumptions!$B$52,0))*B3</f>
        <v/>
      </c>
      <c r="Q3">
        <f>MAX(Assumptions!$B$53*F3,Assumptions!$B$54*B3)</f>
        <v/>
      </c>
      <c r="R3">
        <f>IF(AND(Assumptions!$B$120&gt;0,A3&gt;=2),MAX(Assumptions!$B$120*F3,Assumptions!$B$121),0)</f>
        <v/>
      </c>
      <c r="S3">
        <f>J3+K3+L3+M3+N3+O3+P3+R3+Q3*Assumptions!$B$55+IF(Assumptions!$B$118=1,G3,0)+IF(Assumptions!$B$119=1,H3,0)</f>
        <v/>
      </c>
      <c r="T3">
        <f>MAX(Assumptions!$B$58*F3-Assumptions!$B$59*S3,Assumptions!$B$60*F3)</f>
        <v/>
      </c>
      <c r="U3">
        <f>Assumptions!$B$56+IF(A3&gt;=13,Assumptions!$B$57/12,0)</f>
        <v/>
      </c>
      <c r="V3">
        <f>SUM(G3:R3)+T3+U3</f>
        <v/>
      </c>
      <c r="W3">
        <f>F3-V3</f>
        <v/>
      </c>
      <c r="X3">
        <f>(CAPEX!$B$32+Assumptions!$B$122)/Assumptions!$B$68</f>
        <v/>
      </c>
      <c r="Y3">
        <f>W3-X3</f>
        <v/>
      </c>
      <c r="Z3">
        <f>W3</f>
        <v/>
      </c>
      <c r="AA3">
        <f>AA2+Z3</f>
        <v/>
      </c>
      <c r="AB3">
        <f>1/(1+((1+Assumptions!$B$6)^(1/12)-1))^A3</f>
        <v/>
      </c>
      <c r="AC3">
        <f>AC2+Z3*AB3</f>
        <v/>
      </c>
    </row>
    <row r="4">
      <c r="A4" t="n">
        <v>2</v>
      </c>
      <c r="B4">
        <f>(1+Assumptions!$B$4)^INT((A4-1)/12)</f>
        <v/>
      </c>
      <c r="C4">
        <f>MIN(0.95,0.37*Assumptions!$B$114)</f>
        <v/>
      </c>
      <c r="D4">
        <f>C4*Assumptions!$B$125</f>
        <v/>
      </c>
      <c r="E4">
        <f>Assumptions!$B$112*Assumptions!$B$113*B4</f>
        <v/>
      </c>
      <c r="F4">
        <f>D4*E4*Assumptions!$B$16</f>
        <v/>
      </c>
      <c r="G4">
        <f>MAX(Assumptions!$B$117*F4,Assumptions!$B$111*Assumptions!$B$32*B4)</f>
        <v/>
      </c>
      <c r="H4">
        <f>Assumptions!$B$115*Assumptions!$B$116*B4</f>
        <v/>
      </c>
      <c r="I4">
        <f>(Assumptions!$B$124+Assumptions!$B$36)*B4</f>
        <v/>
      </c>
      <c r="J4">
        <f>MAX(Assumptions!$B$123*B4*D4*Assumptions!$B$16,Assumptions!$B$39*B4)</f>
        <v/>
      </c>
      <c r="K4">
        <f>Assumptions!$B$40*B4</f>
        <v/>
      </c>
      <c r="L4">
        <f>Assumptions!$B$41*B4</f>
        <v/>
      </c>
      <c r="M4">
        <f>Assumptions!$B$42</f>
        <v/>
      </c>
      <c r="N4">
        <f>F4*Assumptions!$B$44*Assumptions!$B$45+Assumptions!$B$46</f>
        <v/>
      </c>
      <c r="O4">
        <f>IF(A4&lt;=12,MAX(Assumptions!$B$47*F4,Assumptions!$B$48*B4),MAX(Assumptions!$B$49*F4,Assumptions!$B$50*B4))</f>
        <v/>
      </c>
      <c r="P4">
        <f>(Assumptions!$B$51+IF(Assumptions!$B$118=1,Assumptions!$B$52,0))*B4</f>
        <v/>
      </c>
      <c r="Q4">
        <f>MAX(Assumptions!$B$53*F4,Assumptions!$B$54*B4)</f>
        <v/>
      </c>
      <c r="R4">
        <f>IF(AND(Assumptions!$B$120&gt;0,A4&gt;=2),MAX(Assumptions!$B$120*F4,Assumptions!$B$121),0)</f>
        <v/>
      </c>
      <c r="S4">
        <f>J4+K4+L4+M4+N4+O4+P4+R4+Q4*Assumptions!$B$55+IF(Assumptions!$B$118=1,G4,0)+IF(Assumptions!$B$119=1,H4,0)</f>
        <v/>
      </c>
      <c r="T4">
        <f>MAX(Assumptions!$B$58*F4-Assumptions!$B$59*S4,Assumptions!$B$60*F4)</f>
        <v/>
      </c>
      <c r="U4">
        <f>Assumptions!$B$56+IF(A4&gt;=13,Assumptions!$B$57/12,0)</f>
        <v/>
      </c>
      <c r="V4">
        <f>SUM(G4:R4)+T4+U4</f>
        <v/>
      </c>
      <c r="W4">
        <f>F4-V4</f>
        <v/>
      </c>
      <c r="X4">
        <f>(CAPEX!$B$32+Assumptions!$B$122)/Assumptions!$B$68</f>
        <v/>
      </c>
      <c r="Y4">
        <f>W4-X4</f>
        <v/>
      </c>
      <c r="Z4">
        <f>W4</f>
        <v/>
      </c>
      <c r="AA4">
        <f>AA3+Z4</f>
        <v/>
      </c>
      <c r="AB4">
        <f>1/(1+((1+Assumptions!$B$6)^(1/12)-1))^A4</f>
        <v/>
      </c>
      <c r="AC4">
        <f>AC3+Z4*AB4</f>
        <v/>
      </c>
    </row>
    <row r="5">
      <c r="A5" t="n">
        <v>3</v>
      </c>
      <c r="B5">
        <f>(1+Assumptions!$B$4)^INT((A5-1)/12)</f>
        <v/>
      </c>
      <c r="C5">
        <f>MIN(0.95,0.47*Assumptions!$B$114)</f>
        <v/>
      </c>
      <c r="D5">
        <f>C5*Assumptions!$B$125</f>
        <v/>
      </c>
      <c r="E5">
        <f>Assumptions!$B$112*Assumptions!$B$113*B5</f>
        <v/>
      </c>
      <c r="F5">
        <f>D5*E5*Assumptions!$B$16</f>
        <v/>
      </c>
      <c r="G5">
        <f>MAX(Assumptions!$B$117*F5,Assumptions!$B$111*Assumptions!$B$32*B5)</f>
        <v/>
      </c>
      <c r="H5">
        <f>Assumptions!$B$115*Assumptions!$B$116*B5</f>
        <v/>
      </c>
      <c r="I5">
        <f>(Assumptions!$B$124+Assumptions!$B$36)*B5</f>
        <v/>
      </c>
      <c r="J5">
        <f>MAX(Assumptions!$B$123*B5*D5*Assumptions!$B$16,Assumptions!$B$39*B5)</f>
        <v/>
      </c>
      <c r="K5">
        <f>Assumptions!$B$40*B5</f>
        <v/>
      </c>
      <c r="L5">
        <f>Assumptions!$B$41*B5</f>
        <v/>
      </c>
      <c r="M5">
        <f>Assumptions!$B$42</f>
        <v/>
      </c>
      <c r="N5">
        <f>F5*Assumptions!$B$44*Assumptions!$B$45+Assumptions!$B$46</f>
        <v/>
      </c>
      <c r="O5">
        <f>IF(A5&lt;=12,MAX(Assumptions!$B$47*F5,Assumptions!$B$48*B5),MAX(Assumptions!$B$49*F5,Assumptions!$B$50*B5))</f>
        <v/>
      </c>
      <c r="P5">
        <f>(Assumptions!$B$51+IF(Assumptions!$B$118=1,Assumptions!$B$52,0))*B5</f>
        <v/>
      </c>
      <c r="Q5">
        <f>MAX(Assumptions!$B$53*F5,Assumptions!$B$54*B5)</f>
        <v/>
      </c>
      <c r="R5">
        <f>IF(AND(Assumptions!$B$120&gt;0,A5&gt;=2),MAX(Assumptions!$B$120*F5,Assumptions!$B$121),0)</f>
        <v/>
      </c>
      <c r="S5">
        <f>J5+K5+L5+M5+N5+O5+P5+R5+Q5*Assumptions!$B$55+IF(Assumptions!$B$118=1,G5,0)+IF(Assumptions!$B$119=1,H5,0)</f>
        <v/>
      </c>
      <c r="T5">
        <f>MAX(Assumptions!$B$58*F5-Assumptions!$B$59*S5,Assumptions!$B$60*F5)</f>
        <v/>
      </c>
      <c r="U5">
        <f>Assumptions!$B$56+IF(A5&gt;=13,Assumptions!$B$57/12,0)</f>
        <v/>
      </c>
      <c r="V5">
        <f>SUM(G5:R5)+T5+U5</f>
        <v/>
      </c>
      <c r="W5">
        <f>F5-V5</f>
        <v/>
      </c>
      <c r="X5">
        <f>(CAPEX!$B$32+Assumptions!$B$122)/Assumptions!$B$68</f>
        <v/>
      </c>
      <c r="Y5">
        <f>W5-X5</f>
        <v/>
      </c>
      <c r="Z5">
        <f>W5</f>
        <v/>
      </c>
      <c r="AA5">
        <f>AA4+Z5</f>
        <v/>
      </c>
      <c r="AB5">
        <f>1/(1+((1+Assumptions!$B$6)^(1/12)-1))^A5</f>
        <v/>
      </c>
      <c r="AC5">
        <f>AC4+Z5*AB5</f>
        <v/>
      </c>
    </row>
    <row r="6">
      <c r="A6" t="n">
        <v>4</v>
      </c>
      <c r="B6">
        <f>(1+Assumptions!$B$4)^INT((A6-1)/12)</f>
        <v/>
      </c>
      <c r="C6">
        <f>MIN(0.95,0.56*Assumptions!$B$114)</f>
        <v/>
      </c>
      <c r="D6">
        <f>C6*Assumptions!$B$125</f>
        <v/>
      </c>
      <c r="E6">
        <f>Assumptions!$B$112*Assumptions!$B$113*B6</f>
        <v/>
      </c>
      <c r="F6">
        <f>D6*E6*Assumptions!$B$16</f>
        <v/>
      </c>
      <c r="G6">
        <f>MAX(Assumptions!$B$117*F6,Assumptions!$B$111*Assumptions!$B$32*B6)</f>
        <v/>
      </c>
      <c r="H6">
        <f>Assumptions!$B$115*Assumptions!$B$116*B6</f>
        <v/>
      </c>
      <c r="I6">
        <f>(Assumptions!$B$124+Assumptions!$B$36)*B6</f>
        <v/>
      </c>
      <c r="J6">
        <f>MAX(Assumptions!$B$123*B6*D6*Assumptions!$B$16,Assumptions!$B$39*B6)</f>
        <v/>
      </c>
      <c r="K6">
        <f>Assumptions!$B$40*B6</f>
        <v/>
      </c>
      <c r="L6">
        <f>Assumptions!$B$41*B6</f>
        <v/>
      </c>
      <c r="M6">
        <f>Assumptions!$B$42</f>
        <v/>
      </c>
      <c r="N6">
        <f>F6*Assumptions!$B$44*Assumptions!$B$45+Assumptions!$B$46</f>
        <v/>
      </c>
      <c r="O6">
        <f>IF(A6&lt;=12,MAX(Assumptions!$B$47*F6,Assumptions!$B$48*B6),MAX(Assumptions!$B$49*F6,Assumptions!$B$50*B6))</f>
        <v/>
      </c>
      <c r="P6">
        <f>(Assumptions!$B$51+IF(Assumptions!$B$118=1,Assumptions!$B$52,0))*B6</f>
        <v/>
      </c>
      <c r="Q6">
        <f>MAX(Assumptions!$B$53*F6,Assumptions!$B$54*B6)</f>
        <v/>
      </c>
      <c r="R6">
        <f>IF(AND(Assumptions!$B$120&gt;0,A6&gt;=2),MAX(Assumptions!$B$120*F6,Assumptions!$B$121),0)</f>
        <v/>
      </c>
      <c r="S6">
        <f>J6+K6+L6+M6+N6+O6+P6+R6+Q6*Assumptions!$B$55+IF(Assumptions!$B$118=1,G6,0)+IF(Assumptions!$B$119=1,H6,0)</f>
        <v/>
      </c>
      <c r="T6">
        <f>MAX(Assumptions!$B$58*F6-Assumptions!$B$59*S6,Assumptions!$B$60*F6)</f>
        <v/>
      </c>
      <c r="U6">
        <f>Assumptions!$B$56+IF(A6&gt;=13,Assumptions!$B$57/12,0)</f>
        <v/>
      </c>
      <c r="V6">
        <f>SUM(G6:R6)+T6+U6</f>
        <v/>
      </c>
      <c r="W6">
        <f>F6-V6</f>
        <v/>
      </c>
      <c r="X6">
        <f>(CAPEX!$B$32+Assumptions!$B$122)/Assumptions!$B$68</f>
        <v/>
      </c>
      <c r="Y6">
        <f>W6-X6</f>
        <v/>
      </c>
      <c r="Z6">
        <f>W6</f>
        <v/>
      </c>
      <c r="AA6">
        <f>AA5+Z6</f>
        <v/>
      </c>
      <c r="AB6">
        <f>1/(1+((1+Assumptions!$B$6)^(1/12)-1))^A6</f>
        <v/>
      </c>
      <c r="AC6">
        <f>AC5+Z6*AB6</f>
        <v/>
      </c>
    </row>
    <row r="7">
      <c r="A7" t="n">
        <v>5</v>
      </c>
      <c r="B7">
        <f>(1+Assumptions!$B$4)^INT((A7-1)/12)</f>
        <v/>
      </c>
      <c r="C7">
        <f>MIN(0.95,0.63*Assumptions!$B$114)</f>
        <v/>
      </c>
      <c r="D7">
        <f>C7*Assumptions!$B$125</f>
        <v/>
      </c>
      <c r="E7">
        <f>Assumptions!$B$112*Assumptions!$B$113*B7</f>
        <v/>
      </c>
      <c r="F7">
        <f>D7*E7*Assumptions!$B$16</f>
        <v/>
      </c>
      <c r="G7">
        <f>MAX(Assumptions!$B$117*F7,Assumptions!$B$111*Assumptions!$B$32*B7)</f>
        <v/>
      </c>
      <c r="H7">
        <f>Assumptions!$B$115*Assumptions!$B$116*B7</f>
        <v/>
      </c>
      <c r="I7">
        <f>(Assumptions!$B$124+Assumptions!$B$36)*B7</f>
        <v/>
      </c>
      <c r="J7">
        <f>MAX(Assumptions!$B$123*B7*D7*Assumptions!$B$16,Assumptions!$B$39*B7)</f>
        <v/>
      </c>
      <c r="K7">
        <f>Assumptions!$B$40*B7</f>
        <v/>
      </c>
      <c r="L7">
        <f>Assumptions!$B$41*B7</f>
        <v/>
      </c>
      <c r="M7">
        <f>Assumptions!$B$42</f>
        <v/>
      </c>
      <c r="N7">
        <f>F7*Assumptions!$B$44*Assumptions!$B$45+Assumptions!$B$46</f>
        <v/>
      </c>
      <c r="O7">
        <f>IF(A7&lt;=12,MAX(Assumptions!$B$47*F7,Assumptions!$B$48*B7),MAX(Assumptions!$B$49*F7,Assumptions!$B$50*B7))</f>
        <v/>
      </c>
      <c r="P7">
        <f>(Assumptions!$B$51+IF(Assumptions!$B$118=1,Assumptions!$B$52,0))*B7</f>
        <v/>
      </c>
      <c r="Q7">
        <f>MAX(Assumptions!$B$53*F7,Assumptions!$B$54*B7)</f>
        <v/>
      </c>
      <c r="R7">
        <f>IF(AND(Assumptions!$B$120&gt;0,A7&gt;=2),MAX(Assumptions!$B$120*F7,Assumptions!$B$121),0)</f>
        <v/>
      </c>
      <c r="S7">
        <f>J7+K7+L7+M7+N7+O7+P7+R7+Q7*Assumptions!$B$55+IF(Assumptions!$B$118=1,G7,0)+IF(Assumptions!$B$119=1,H7,0)</f>
        <v/>
      </c>
      <c r="T7">
        <f>MAX(Assumptions!$B$58*F7-Assumptions!$B$59*S7,Assumptions!$B$60*F7)</f>
        <v/>
      </c>
      <c r="U7">
        <f>Assumptions!$B$56+IF(A7&gt;=13,Assumptions!$B$57/12,0)</f>
        <v/>
      </c>
      <c r="V7">
        <f>SUM(G7:R7)+T7+U7</f>
        <v/>
      </c>
      <c r="W7">
        <f>F7-V7</f>
        <v/>
      </c>
      <c r="X7">
        <f>(CAPEX!$B$32+Assumptions!$B$122)/Assumptions!$B$68</f>
        <v/>
      </c>
      <c r="Y7">
        <f>W7-X7</f>
        <v/>
      </c>
      <c r="Z7">
        <f>W7</f>
        <v/>
      </c>
      <c r="AA7">
        <f>AA6+Z7</f>
        <v/>
      </c>
      <c r="AB7">
        <f>1/(1+((1+Assumptions!$B$6)^(1/12)-1))^A7</f>
        <v/>
      </c>
      <c r="AC7">
        <f>AC6+Z7*AB7</f>
        <v/>
      </c>
    </row>
    <row r="8">
      <c r="A8" t="n">
        <v>6</v>
      </c>
      <c r="B8">
        <f>(1+Assumptions!$B$4)^INT((A8-1)/12)</f>
        <v/>
      </c>
      <c r="C8">
        <f>MIN(0.95,0.7*Assumptions!$B$114)</f>
        <v/>
      </c>
      <c r="D8">
        <f>C8*Assumptions!$B$125</f>
        <v/>
      </c>
      <c r="E8">
        <f>Assumptions!$B$112*Assumptions!$B$113*B8</f>
        <v/>
      </c>
      <c r="F8">
        <f>D8*E8*Assumptions!$B$16</f>
        <v/>
      </c>
      <c r="G8">
        <f>MAX(Assumptions!$B$117*F8,Assumptions!$B$111*Assumptions!$B$32*B8)</f>
        <v/>
      </c>
      <c r="H8">
        <f>Assumptions!$B$115*Assumptions!$B$116*B8</f>
        <v/>
      </c>
      <c r="I8">
        <f>(Assumptions!$B$124+Assumptions!$B$36)*B8</f>
        <v/>
      </c>
      <c r="J8">
        <f>MAX(Assumptions!$B$123*B8*D8*Assumptions!$B$16,Assumptions!$B$39*B8)</f>
        <v/>
      </c>
      <c r="K8">
        <f>Assumptions!$B$40*B8</f>
        <v/>
      </c>
      <c r="L8">
        <f>Assumptions!$B$41*B8</f>
        <v/>
      </c>
      <c r="M8">
        <f>Assumptions!$B$42</f>
        <v/>
      </c>
      <c r="N8">
        <f>F8*Assumptions!$B$44*Assumptions!$B$45+Assumptions!$B$46</f>
        <v/>
      </c>
      <c r="O8">
        <f>IF(A8&lt;=12,MAX(Assumptions!$B$47*F8,Assumptions!$B$48*B8),MAX(Assumptions!$B$49*F8,Assumptions!$B$50*B8))</f>
        <v/>
      </c>
      <c r="P8">
        <f>(Assumptions!$B$51+IF(Assumptions!$B$118=1,Assumptions!$B$52,0))*B8</f>
        <v/>
      </c>
      <c r="Q8">
        <f>MAX(Assumptions!$B$53*F8,Assumptions!$B$54*B8)</f>
        <v/>
      </c>
      <c r="R8">
        <f>IF(AND(Assumptions!$B$120&gt;0,A8&gt;=2),MAX(Assumptions!$B$120*F8,Assumptions!$B$121),0)</f>
        <v/>
      </c>
      <c r="S8">
        <f>J8+K8+L8+M8+N8+O8+P8+R8+Q8*Assumptions!$B$55+IF(Assumptions!$B$118=1,G8,0)+IF(Assumptions!$B$119=1,H8,0)</f>
        <v/>
      </c>
      <c r="T8">
        <f>MAX(Assumptions!$B$58*F8-Assumptions!$B$59*S8,Assumptions!$B$60*F8)</f>
        <v/>
      </c>
      <c r="U8">
        <f>Assumptions!$B$56+IF(A8&gt;=13,Assumptions!$B$57/12,0)</f>
        <v/>
      </c>
      <c r="V8">
        <f>SUM(G8:R8)+T8+U8</f>
        <v/>
      </c>
      <c r="W8">
        <f>F8-V8</f>
        <v/>
      </c>
      <c r="X8">
        <f>(CAPEX!$B$32+Assumptions!$B$122)/Assumptions!$B$68</f>
        <v/>
      </c>
      <c r="Y8">
        <f>W8-X8</f>
        <v/>
      </c>
      <c r="Z8">
        <f>W8</f>
        <v/>
      </c>
      <c r="AA8">
        <f>AA7+Z8</f>
        <v/>
      </c>
      <c r="AB8">
        <f>1/(1+((1+Assumptions!$B$6)^(1/12)-1))^A8</f>
        <v/>
      </c>
      <c r="AC8">
        <f>AC7+Z8*AB8</f>
        <v/>
      </c>
    </row>
    <row r="9">
      <c r="A9" t="n">
        <v>7</v>
      </c>
      <c r="B9">
        <f>(1+Assumptions!$B$4)^INT((A9-1)/12)</f>
        <v/>
      </c>
      <c r="C9">
        <f>MIN(0.95,0.74*Assumptions!$B$114)</f>
        <v/>
      </c>
      <c r="D9">
        <f>C9*Assumptions!$B$125</f>
        <v/>
      </c>
      <c r="E9">
        <f>Assumptions!$B$112*Assumptions!$B$113*B9</f>
        <v/>
      </c>
      <c r="F9">
        <f>D9*E9*Assumptions!$B$16</f>
        <v/>
      </c>
      <c r="G9">
        <f>MAX(Assumptions!$B$117*F9,Assumptions!$B$111*Assumptions!$B$32*B9)</f>
        <v/>
      </c>
      <c r="H9">
        <f>Assumptions!$B$115*Assumptions!$B$116*B9</f>
        <v/>
      </c>
      <c r="I9">
        <f>(Assumptions!$B$124+Assumptions!$B$36)*B9</f>
        <v/>
      </c>
      <c r="J9">
        <f>MAX(Assumptions!$B$123*B9*D9*Assumptions!$B$16,Assumptions!$B$39*B9)</f>
        <v/>
      </c>
      <c r="K9">
        <f>Assumptions!$B$40*B9</f>
        <v/>
      </c>
      <c r="L9">
        <f>Assumptions!$B$41*B9</f>
        <v/>
      </c>
      <c r="M9">
        <f>Assumptions!$B$42</f>
        <v/>
      </c>
      <c r="N9">
        <f>F9*Assumptions!$B$44*Assumptions!$B$45+Assumptions!$B$46</f>
        <v/>
      </c>
      <c r="O9">
        <f>IF(A9&lt;=12,MAX(Assumptions!$B$47*F9,Assumptions!$B$48*B9),MAX(Assumptions!$B$49*F9,Assumptions!$B$50*B9))</f>
        <v/>
      </c>
      <c r="P9">
        <f>(Assumptions!$B$51+IF(Assumptions!$B$118=1,Assumptions!$B$52,0))*B9</f>
        <v/>
      </c>
      <c r="Q9">
        <f>MAX(Assumptions!$B$53*F9,Assumptions!$B$54*B9)</f>
        <v/>
      </c>
      <c r="R9">
        <f>IF(AND(Assumptions!$B$120&gt;0,A9&gt;=2),MAX(Assumptions!$B$120*F9,Assumptions!$B$121),0)</f>
        <v/>
      </c>
      <c r="S9">
        <f>J9+K9+L9+M9+N9+O9+P9+R9+Q9*Assumptions!$B$55+IF(Assumptions!$B$118=1,G9,0)+IF(Assumptions!$B$119=1,H9,0)</f>
        <v/>
      </c>
      <c r="T9">
        <f>MAX(Assumptions!$B$58*F9-Assumptions!$B$59*S9,Assumptions!$B$60*F9)</f>
        <v/>
      </c>
      <c r="U9">
        <f>Assumptions!$B$56+IF(A9&gt;=13,Assumptions!$B$57/12,0)</f>
        <v/>
      </c>
      <c r="V9">
        <f>SUM(G9:R9)+T9+U9</f>
        <v/>
      </c>
      <c r="W9">
        <f>F9-V9</f>
        <v/>
      </c>
      <c r="X9">
        <f>(CAPEX!$B$32+Assumptions!$B$122)/Assumptions!$B$68</f>
        <v/>
      </c>
      <c r="Y9">
        <f>W9-X9</f>
        <v/>
      </c>
      <c r="Z9">
        <f>W9</f>
        <v/>
      </c>
      <c r="AA9">
        <f>AA8+Z9</f>
        <v/>
      </c>
      <c r="AB9">
        <f>1/(1+((1+Assumptions!$B$6)^(1/12)-1))^A9</f>
        <v/>
      </c>
      <c r="AC9">
        <f>AC8+Z9*AB9</f>
        <v/>
      </c>
    </row>
    <row r="10">
      <c r="A10" t="n">
        <v>8</v>
      </c>
      <c r="B10">
        <f>(1+Assumptions!$B$4)^INT((A10-1)/12)</f>
        <v/>
      </c>
      <c r="C10">
        <f>MIN(0.95,0.77*Assumptions!$B$114)</f>
        <v/>
      </c>
      <c r="D10">
        <f>C10*Assumptions!$B$125</f>
        <v/>
      </c>
      <c r="E10">
        <f>Assumptions!$B$112*Assumptions!$B$113*B10</f>
        <v/>
      </c>
      <c r="F10">
        <f>D10*E10*Assumptions!$B$16</f>
        <v/>
      </c>
      <c r="G10">
        <f>MAX(Assumptions!$B$117*F10,Assumptions!$B$111*Assumptions!$B$32*B10)</f>
        <v/>
      </c>
      <c r="H10">
        <f>Assumptions!$B$115*Assumptions!$B$116*B10</f>
        <v/>
      </c>
      <c r="I10">
        <f>(Assumptions!$B$124+Assumptions!$B$36)*B10</f>
        <v/>
      </c>
      <c r="J10">
        <f>MAX(Assumptions!$B$123*B10*D10*Assumptions!$B$16,Assumptions!$B$39*B10)</f>
        <v/>
      </c>
      <c r="K10">
        <f>Assumptions!$B$40*B10</f>
        <v/>
      </c>
      <c r="L10">
        <f>Assumptions!$B$41*B10</f>
        <v/>
      </c>
      <c r="M10">
        <f>Assumptions!$B$42</f>
        <v/>
      </c>
      <c r="N10">
        <f>F10*Assumptions!$B$44*Assumptions!$B$45+Assumptions!$B$46</f>
        <v/>
      </c>
      <c r="O10">
        <f>IF(A10&lt;=12,MAX(Assumptions!$B$47*F10,Assumptions!$B$48*B10),MAX(Assumptions!$B$49*F10,Assumptions!$B$50*B10))</f>
        <v/>
      </c>
      <c r="P10">
        <f>(Assumptions!$B$51+IF(Assumptions!$B$118=1,Assumptions!$B$52,0))*B10</f>
        <v/>
      </c>
      <c r="Q10">
        <f>MAX(Assumptions!$B$53*F10,Assumptions!$B$54*B10)</f>
        <v/>
      </c>
      <c r="R10">
        <f>IF(AND(Assumptions!$B$120&gt;0,A10&gt;=2),MAX(Assumptions!$B$120*F10,Assumptions!$B$121),0)</f>
        <v/>
      </c>
      <c r="S10">
        <f>J10+K10+L10+M10+N10+O10+P10+R10+Q10*Assumptions!$B$55+IF(Assumptions!$B$118=1,G10,0)+IF(Assumptions!$B$119=1,H10,0)</f>
        <v/>
      </c>
      <c r="T10">
        <f>MAX(Assumptions!$B$58*F10-Assumptions!$B$59*S10,Assumptions!$B$60*F10)</f>
        <v/>
      </c>
      <c r="U10">
        <f>Assumptions!$B$56+IF(A10&gt;=13,Assumptions!$B$57/12,0)</f>
        <v/>
      </c>
      <c r="V10">
        <f>SUM(G10:R10)+T10+U10</f>
        <v/>
      </c>
      <c r="W10">
        <f>F10-V10</f>
        <v/>
      </c>
      <c r="X10">
        <f>(CAPEX!$B$32+Assumptions!$B$122)/Assumptions!$B$68</f>
        <v/>
      </c>
      <c r="Y10">
        <f>W10-X10</f>
        <v/>
      </c>
      <c r="Z10">
        <f>W10</f>
        <v/>
      </c>
      <c r="AA10">
        <f>AA9+Z10</f>
        <v/>
      </c>
      <c r="AB10">
        <f>1/(1+((1+Assumptions!$B$6)^(1/12)-1))^A10</f>
        <v/>
      </c>
      <c r="AC10">
        <f>AC9+Z10*AB10</f>
        <v/>
      </c>
    </row>
    <row r="11">
      <c r="A11" t="n">
        <v>9</v>
      </c>
      <c r="B11">
        <f>(1+Assumptions!$B$4)^INT((A11-1)/12)</f>
        <v/>
      </c>
      <c r="C11">
        <f>MIN(0.95,0.79*Assumptions!$B$114)</f>
        <v/>
      </c>
      <c r="D11">
        <f>C11*Assumptions!$B$125</f>
        <v/>
      </c>
      <c r="E11">
        <f>Assumptions!$B$112*Assumptions!$B$113*B11</f>
        <v/>
      </c>
      <c r="F11">
        <f>D11*E11*Assumptions!$B$16</f>
        <v/>
      </c>
      <c r="G11">
        <f>MAX(Assumptions!$B$117*F11,Assumptions!$B$111*Assumptions!$B$32*B11)</f>
        <v/>
      </c>
      <c r="H11">
        <f>Assumptions!$B$115*Assumptions!$B$116*B11</f>
        <v/>
      </c>
      <c r="I11">
        <f>(Assumptions!$B$124+Assumptions!$B$36)*B11</f>
        <v/>
      </c>
      <c r="J11">
        <f>MAX(Assumptions!$B$123*B11*D11*Assumptions!$B$16,Assumptions!$B$39*B11)</f>
        <v/>
      </c>
      <c r="K11">
        <f>Assumptions!$B$40*B11</f>
        <v/>
      </c>
      <c r="L11">
        <f>Assumptions!$B$41*B11</f>
        <v/>
      </c>
      <c r="M11">
        <f>Assumptions!$B$42</f>
        <v/>
      </c>
      <c r="N11">
        <f>F11*Assumptions!$B$44*Assumptions!$B$45+Assumptions!$B$46</f>
        <v/>
      </c>
      <c r="O11">
        <f>IF(A11&lt;=12,MAX(Assumptions!$B$47*F11,Assumptions!$B$48*B11),MAX(Assumptions!$B$49*F11,Assumptions!$B$50*B11))</f>
        <v/>
      </c>
      <c r="P11">
        <f>(Assumptions!$B$51+IF(Assumptions!$B$118=1,Assumptions!$B$52,0))*B11</f>
        <v/>
      </c>
      <c r="Q11">
        <f>MAX(Assumptions!$B$53*F11,Assumptions!$B$54*B11)</f>
        <v/>
      </c>
      <c r="R11">
        <f>IF(AND(Assumptions!$B$120&gt;0,A11&gt;=2),MAX(Assumptions!$B$120*F11,Assumptions!$B$121),0)</f>
        <v/>
      </c>
      <c r="S11">
        <f>J11+K11+L11+M11+N11+O11+P11+R11+Q11*Assumptions!$B$55+IF(Assumptions!$B$118=1,G11,0)+IF(Assumptions!$B$119=1,H11,0)</f>
        <v/>
      </c>
      <c r="T11">
        <f>MAX(Assumptions!$B$58*F11-Assumptions!$B$59*S11,Assumptions!$B$60*F11)</f>
        <v/>
      </c>
      <c r="U11">
        <f>Assumptions!$B$56+IF(A11&gt;=13,Assumptions!$B$57/12,0)</f>
        <v/>
      </c>
      <c r="V11">
        <f>SUM(G11:R11)+T11+U11</f>
        <v/>
      </c>
      <c r="W11">
        <f>F11-V11</f>
        <v/>
      </c>
      <c r="X11">
        <f>(CAPEX!$B$32+Assumptions!$B$122)/Assumptions!$B$68</f>
        <v/>
      </c>
      <c r="Y11">
        <f>W11-X11</f>
        <v/>
      </c>
      <c r="Z11">
        <f>W11</f>
        <v/>
      </c>
      <c r="AA11">
        <f>AA10+Z11</f>
        <v/>
      </c>
      <c r="AB11">
        <f>1/(1+((1+Assumptions!$B$6)^(1/12)-1))^A11</f>
        <v/>
      </c>
      <c r="AC11">
        <f>AC10+Z11*AB11</f>
        <v/>
      </c>
    </row>
    <row r="12">
      <c r="A12" t="n">
        <v>10</v>
      </c>
      <c r="B12">
        <f>(1+Assumptions!$B$4)^INT((A12-1)/12)</f>
        <v/>
      </c>
      <c r="C12">
        <f>MIN(0.95,0.81*Assumptions!$B$114)</f>
        <v/>
      </c>
      <c r="D12">
        <f>C12*Assumptions!$B$125</f>
        <v/>
      </c>
      <c r="E12">
        <f>Assumptions!$B$112*Assumptions!$B$113*B12</f>
        <v/>
      </c>
      <c r="F12">
        <f>D12*E12*Assumptions!$B$16</f>
        <v/>
      </c>
      <c r="G12">
        <f>MAX(Assumptions!$B$117*F12,Assumptions!$B$111*Assumptions!$B$32*B12)</f>
        <v/>
      </c>
      <c r="H12">
        <f>Assumptions!$B$115*Assumptions!$B$116*B12</f>
        <v/>
      </c>
      <c r="I12">
        <f>(Assumptions!$B$124+Assumptions!$B$36)*B12</f>
        <v/>
      </c>
      <c r="J12">
        <f>MAX(Assumptions!$B$123*B12*D12*Assumptions!$B$16,Assumptions!$B$39*B12)</f>
        <v/>
      </c>
      <c r="K12">
        <f>Assumptions!$B$40*B12</f>
        <v/>
      </c>
      <c r="L12">
        <f>Assumptions!$B$41*B12</f>
        <v/>
      </c>
      <c r="M12">
        <f>Assumptions!$B$42</f>
        <v/>
      </c>
      <c r="N12">
        <f>F12*Assumptions!$B$44*Assumptions!$B$45+Assumptions!$B$46</f>
        <v/>
      </c>
      <c r="O12">
        <f>IF(A12&lt;=12,MAX(Assumptions!$B$47*F12,Assumptions!$B$48*B12),MAX(Assumptions!$B$49*F12,Assumptions!$B$50*B12))</f>
        <v/>
      </c>
      <c r="P12">
        <f>(Assumptions!$B$51+IF(Assumptions!$B$118=1,Assumptions!$B$52,0))*B12</f>
        <v/>
      </c>
      <c r="Q12">
        <f>MAX(Assumptions!$B$53*F12,Assumptions!$B$54*B12)</f>
        <v/>
      </c>
      <c r="R12">
        <f>IF(AND(Assumptions!$B$120&gt;0,A12&gt;=2),MAX(Assumptions!$B$120*F12,Assumptions!$B$121),0)</f>
        <v/>
      </c>
      <c r="S12">
        <f>J12+K12+L12+M12+N12+O12+P12+R12+Q12*Assumptions!$B$55+IF(Assumptions!$B$118=1,G12,0)+IF(Assumptions!$B$119=1,H12,0)</f>
        <v/>
      </c>
      <c r="T12">
        <f>MAX(Assumptions!$B$58*F12-Assumptions!$B$59*S12,Assumptions!$B$60*F12)</f>
        <v/>
      </c>
      <c r="U12">
        <f>Assumptions!$B$56+IF(A12&gt;=13,Assumptions!$B$57/12,0)</f>
        <v/>
      </c>
      <c r="V12">
        <f>SUM(G12:R12)+T12+U12</f>
        <v/>
      </c>
      <c r="W12">
        <f>F12-V12</f>
        <v/>
      </c>
      <c r="X12">
        <f>(CAPEX!$B$32+Assumptions!$B$122)/Assumptions!$B$68</f>
        <v/>
      </c>
      <c r="Y12">
        <f>W12-X12</f>
        <v/>
      </c>
      <c r="Z12">
        <f>W12</f>
        <v/>
      </c>
      <c r="AA12">
        <f>AA11+Z12</f>
        <v/>
      </c>
      <c r="AB12">
        <f>1/(1+((1+Assumptions!$B$6)^(1/12)-1))^A12</f>
        <v/>
      </c>
      <c r="AC12">
        <f>AC11+Z12*AB12</f>
        <v/>
      </c>
    </row>
    <row r="13">
      <c r="A13" t="n">
        <v>11</v>
      </c>
      <c r="B13">
        <f>(1+Assumptions!$B$4)^INT((A13-1)/12)</f>
        <v/>
      </c>
      <c r="C13">
        <f>MIN(0.95,0.84*Assumptions!$B$114)</f>
        <v/>
      </c>
      <c r="D13">
        <f>C13*Assumptions!$B$125</f>
        <v/>
      </c>
      <c r="E13">
        <f>Assumptions!$B$112*Assumptions!$B$113*B13</f>
        <v/>
      </c>
      <c r="F13">
        <f>D13*E13*Assumptions!$B$16</f>
        <v/>
      </c>
      <c r="G13">
        <f>MAX(Assumptions!$B$117*F13,Assumptions!$B$111*Assumptions!$B$32*B13)</f>
        <v/>
      </c>
      <c r="H13">
        <f>Assumptions!$B$115*Assumptions!$B$116*B13</f>
        <v/>
      </c>
      <c r="I13">
        <f>(Assumptions!$B$124+Assumptions!$B$36)*B13</f>
        <v/>
      </c>
      <c r="J13">
        <f>MAX(Assumptions!$B$123*B13*D13*Assumptions!$B$16,Assumptions!$B$39*B13)</f>
        <v/>
      </c>
      <c r="K13">
        <f>Assumptions!$B$40*B13</f>
        <v/>
      </c>
      <c r="L13">
        <f>Assumptions!$B$41*B13</f>
        <v/>
      </c>
      <c r="M13">
        <f>Assumptions!$B$42</f>
        <v/>
      </c>
      <c r="N13">
        <f>F13*Assumptions!$B$44*Assumptions!$B$45+Assumptions!$B$46</f>
        <v/>
      </c>
      <c r="O13">
        <f>IF(A13&lt;=12,MAX(Assumptions!$B$47*F13,Assumptions!$B$48*B13),MAX(Assumptions!$B$49*F13,Assumptions!$B$50*B13))</f>
        <v/>
      </c>
      <c r="P13">
        <f>(Assumptions!$B$51+IF(Assumptions!$B$118=1,Assumptions!$B$52,0))*B13</f>
        <v/>
      </c>
      <c r="Q13">
        <f>MAX(Assumptions!$B$53*F13,Assumptions!$B$54*B13)</f>
        <v/>
      </c>
      <c r="R13">
        <f>IF(AND(Assumptions!$B$120&gt;0,A13&gt;=2),MAX(Assumptions!$B$120*F13,Assumptions!$B$121),0)</f>
        <v/>
      </c>
      <c r="S13">
        <f>J13+K13+L13+M13+N13+O13+P13+R13+Q13*Assumptions!$B$55+IF(Assumptions!$B$118=1,G13,0)+IF(Assumptions!$B$119=1,H13,0)</f>
        <v/>
      </c>
      <c r="T13">
        <f>MAX(Assumptions!$B$58*F13-Assumptions!$B$59*S13,Assumptions!$B$60*F13)</f>
        <v/>
      </c>
      <c r="U13">
        <f>Assumptions!$B$56+IF(A13&gt;=13,Assumptions!$B$57/12,0)</f>
        <v/>
      </c>
      <c r="V13">
        <f>SUM(G13:R13)+T13+U13</f>
        <v/>
      </c>
      <c r="W13">
        <f>F13-V13</f>
        <v/>
      </c>
      <c r="X13">
        <f>(CAPEX!$B$32+Assumptions!$B$122)/Assumptions!$B$68</f>
        <v/>
      </c>
      <c r="Y13">
        <f>W13-X13</f>
        <v/>
      </c>
      <c r="Z13">
        <f>W13</f>
        <v/>
      </c>
      <c r="AA13">
        <f>AA12+Z13</f>
        <v/>
      </c>
      <c r="AB13">
        <f>1/(1+((1+Assumptions!$B$6)^(1/12)-1))^A13</f>
        <v/>
      </c>
      <c r="AC13">
        <f>AC12+Z13*AB13</f>
        <v/>
      </c>
    </row>
    <row r="14">
      <c r="A14" t="n">
        <v>12</v>
      </c>
      <c r="B14">
        <f>(1+Assumptions!$B$4)^INT((A14-1)/12)</f>
        <v/>
      </c>
      <c r="C14">
        <f>MIN(0.95,0.86*Assumptions!$B$114)</f>
        <v/>
      </c>
      <c r="D14">
        <f>C14*Assumptions!$B$125</f>
        <v/>
      </c>
      <c r="E14">
        <f>Assumptions!$B$112*Assumptions!$B$113*B14</f>
        <v/>
      </c>
      <c r="F14">
        <f>D14*E14*Assumptions!$B$16</f>
        <v/>
      </c>
      <c r="G14">
        <f>MAX(Assumptions!$B$117*F14,Assumptions!$B$111*Assumptions!$B$32*B14)</f>
        <v/>
      </c>
      <c r="H14">
        <f>Assumptions!$B$115*Assumptions!$B$116*B14</f>
        <v/>
      </c>
      <c r="I14">
        <f>(Assumptions!$B$124+Assumptions!$B$36)*B14</f>
        <v/>
      </c>
      <c r="J14">
        <f>MAX(Assumptions!$B$123*B14*D14*Assumptions!$B$16,Assumptions!$B$39*B14)</f>
        <v/>
      </c>
      <c r="K14">
        <f>Assumptions!$B$40*B14</f>
        <v/>
      </c>
      <c r="L14">
        <f>Assumptions!$B$41*B14</f>
        <v/>
      </c>
      <c r="M14">
        <f>Assumptions!$B$42</f>
        <v/>
      </c>
      <c r="N14">
        <f>F14*Assumptions!$B$44*Assumptions!$B$45+Assumptions!$B$46</f>
        <v/>
      </c>
      <c r="O14">
        <f>IF(A14&lt;=12,MAX(Assumptions!$B$47*F14,Assumptions!$B$48*B14),MAX(Assumptions!$B$49*F14,Assumptions!$B$50*B14))</f>
        <v/>
      </c>
      <c r="P14">
        <f>(Assumptions!$B$51+IF(Assumptions!$B$118=1,Assumptions!$B$52,0))*B14</f>
        <v/>
      </c>
      <c r="Q14">
        <f>MAX(Assumptions!$B$53*F14,Assumptions!$B$54*B14)</f>
        <v/>
      </c>
      <c r="R14">
        <f>IF(AND(Assumptions!$B$120&gt;0,A14&gt;=2),MAX(Assumptions!$B$120*F14,Assumptions!$B$121),0)</f>
        <v/>
      </c>
      <c r="S14">
        <f>J14+K14+L14+M14+N14+O14+P14+R14+Q14*Assumptions!$B$55+IF(Assumptions!$B$118=1,G14,0)+IF(Assumptions!$B$119=1,H14,0)</f>
        <v/>
      </c>
      <c r="T14">
        <f>MAX(Assumptions!$B$58*F14-Assumptions!$B$59*S14,Assumptions!$B$60*F14)</f>
        <v/>
      </c>
      <c r="U14">
        <f>Assumptions!$B$56+IF(A14&gt;=13,Assumptions!$B$57/12,0)</f>
        <v/>
      </c>
      <c r="V14">
        <f>SUM(G14:R14)+T14+U14</f>
        <v/>
      </c>
      <c r="W14">
        <f>F14-V14</f>
        <v/>
      </c>
      <c r="X14">
        <f>(CAPEX!$B$32+Assumptions!$B$122)/Assumptions!$B$68</f>
        <v/>
      </c>
      <c r="Y14">
        <f>W14-X14</f>
        <v/>
      </c>
      <c r="Z14">
        <f>W14</f>
        <v/>
      </c>
      <c r="AA14">
        <f>AA13+Z14</f>
        <v/>
      </c>
      <c r="AB14">
        <f>1/(1+((1+Assumptions!$B$6)^(1/12)-1))^A14</f>
        <v/>
      </c>
      <c r="AC14">
        <f>AC13+Z14*AB14</f>
        <v/>
      </c>
    </row>
    <row r="15">
      <c r="A15" t="n">
        <v>13</v>
      </c>
      <c r="B15">
        <f>(1+Assumptions!$B$4)^INT((A15-1)/12)</f>
        <v/>
      </c>
      <c r="C15">
        <f>MIN(0.95,0.88*Assumptions!$B$114)</f>
        <v/>
      </c>
      <c r="D15">
        <f>C15*Assumptions!$B$125</f>
        <v/>
      </c>
      <c r="E15">
        <f>Assumptions!$B$112*Assumptions!$B$113*B15</f>
        <v/>
      </c>
      <c r="F15">
        <f>D15*E15*Assumptions!$B$16</f>
        <v/>
      </c>
      <c r="G15">
        <f>MAX(Assumptions!$B$117*F15,Assumptions!$B$111*Assumptions!$B$32*B15)</f>
        <v/>
      </c>
      <c r="H15">
        <f>Assumptions!$B$115*Assumptions!$B$116*B15</f>
        <v/>
      </c>
      <c r="I15">
        <f>(Assumptions!$B$124+Assumptions!$B$36)*B15</f>
        <v/>
      </c>
      <c r="J15">
        <f>MAX(Assumptions!$B$123*B15*D15*Assumptions!$B$16,Assumptions!$B$39*B15)</f>
        <v/>
      </c>
      <c r="K15">
        <f>Assumptions!$B$40*B15</f>
        <v/>
      </c>
      <c r="L15">
        <f>Assumptions!$B$41*B15</f>
        <v/>
      </c>
      <c r="M15">
        <f>Assumptions!$B$42</f>
        <v/>
      </c>
      <c r="N15">
        <f>F15*Assumptions!$B$44*Assumptions!$B$45+Assumptions!$B$46</f>
        <v/>
      </c>
      <c r="O15">
        <f>IF(A15&lt;=12,MAX(Assumptions!$B$47*F15,Assumptions!$B$48*B15),MAX(Assumptions!$B$49*F15,Assumptions!$B$50*B15))</f>
        <v/>
      </c>
      <c r="P15">
        <f>(Assumptions!$B$51+IF(Assumptions!$B$118=1,Assumptions!$B$52,0))*B15</f>
        <v/>
      </c>
      <c r="Q15">
        <f>MAX(Assumptions!$B$53*F15,Assumptions!$B$54*B15)</f>
        <v/>
      </c>
      <c r="R15">
        <f>IF(AND(Assumptions!$B$120&gt;0,A15&gt;=2),MAX(Assumptions!$B$120*F15,Assumptions!$B$121),0)</f>
        <v/>
      </c>
      <c r="S15">
        <f>J15+K15+L15+M15+N15+O15+P15+R15+Q15*Assumptions!$B$55+IF(Assumptions!$B$118=1,G15,0)+IF(Assumptions!$B$119=1,H15,0)</f>
        <v/>
      </c>
      <c r="T15">
        <f>MAX(Assumptions!$B$58*F15-Assumptions!$B$59*S15,Assumptions!$B$60*F15)</f>
        <v/>
      </c>
      <c r="U15">
        <f>Assumptions!$B$56+IF(A15&gt;=13,Assumptions!$B$57/12,0)</f>
        <v/>
      </c>
      <c r="V15">
        <f>SUM(G15:R15)+T15+U15</f>
        <v/>
      </c>
      <c r="W15">
        <f>F15-V15</f>
        <v/>
      </c>
      <c r="X15">
        <f>(CAPEX!$B$32+Assumptions!$B$122)/Assumptions!$B$68</f>
        <v/>
      </c>
      <c r="Y15">
        <f>W15-X15</f>
        <v/>
      </c>
      <c r="Z15">
        <f>W15</f>
        <v/>
      </c>
      <c r="AA15">
        <f>AA14+Z15</f>
        <v/>
      </c>
      <c r="AB15">
        <f>1/(1+((1+Assumptions!$B$6)^(1/12)-1))^A15</f>
        <v/>
      </c>
      <c r="AC15">
        <f>AC14+Z15*AB15</f>
        <v/>
      </c>
    </row>
    <row r="16">
      <c r="A16" t="n">
        <v>14</v>
      </c>
      <c r="B16">
        <f>(1+Assumptions!$B$4)^INT((A16-1)/12)</f>
        <v/>
      </c>
      <c r="C16">
        <f>MIN(0.95,0.886364*Assumptions!$B$114)</f>
        <v/>
      </c>
      <c r="D16">
        <f>C16*Assumptions!$B$125</f>
        <v/>
      </c>
      <c r="E16">
        <f>Assumptions!$B$112*Assumptions!$B$113*B16</f>
        <v/>
      </c>
      <c r="F16">
        <f>D16*E16*Assumptions!$B$16</f>
        <v/>
      </c>
      <c r="G16">
        <f>MAX(Assumptions!$B$117*F16,Assumptions!$B$111*Assumptions!$B$32*B16)</f>
        <v/>
      </c>
      <c r="H16">
        <f>Assumptions!$B$115*Assumptions!$B$116*B16</f>
        <v/>
      </c>
      <c r="I16">
        <f>(Assumptions!$B$124+Assumptions!$B$36)*B16</f>
        <v/>
      </c>
      <c r="J16">
        <f>MAX(Assumptions!$B$123*B16*D16*Assumptions!$B$16,Assumptions!$B$39*B16)</f>
        <v/>
      </c>
      <c r="K16">
        <f>Assumptions!$B$40*B16</f>
        <v/>
      </c>
      <c r="L16">
        <f>Assumptions!$B$41*B16</f>
        <v/>
      </c>
      <c r="M16">
        <f>Assumptions!$B$42</f>
        <v/>
      </c>
      <c r="N16">
        <f>F16*Assumptions!$B$44*Assumptions!$B$45+Assumptions!$B$46</f>
        <v/>
      </c>
      <c r="O16">
        <f>IF(A16&lt;=12,MAX(Assumptions!$B$47*F16,Assumptions!$B$48*B16),MAX(Assumptions!$B$49*F16,Assumptions!$B$50*B16))</f>
        <v/>
      </c>
      <c r="P16">
        <f>(Assumptions!$B$51+IF(Assumptions!$B$118=1,Assumptions!$B$52,0))*B16</f>
        <v/>
      </c>
      <c r="Q16">
        <f>MAX(Assumptions!$B$53*F16,Assumptions!$B$54*B16)</f>
        <v/>
      </c>
      <c r="R16">
        <f>IF(AND(Assumptions!$B$120&gt;0,A16&gt;=2),MAX(Assumptions!$B$120*F16,Assumptions!$B$121),0)</f>
        <v/>
      </c>
      <c r="S16">
        <f>J16+K16+L16+M16+N16+O16+P16+R16+Q16*Assumptions!$B$55+IF(Assumptions!$B$118=1,G16,0)+IF(Assumptions!$B$119=1,H16,0)</f>
        <v/>
      </c>
      <c r="T16">
        <f>MAX(Assumptions!$B$58*F16-Assumptions!$B$59*S16,Assumptions!$B$60*F16)</f>
        <v/>
      </c>
      <c r="U16">
        <f>Assumptions!$B$56+IF(A16&gt;=13,Assumptions!$B$57/12,0)</f>
        <v/>
      </c>
      <c r="V16">
        <f>SUM(G16:R16)+T16+U16</f>
        <v/>
      </c>
      <c r="W16">
        <f>F16-V16</f>
        <v/>
      </c>
      <c r="X16">
        <f>(CAPEX!$B$32+Assumptions!$B$122)/Assumptions!$B$68</f>
        <v/>
      </c>
      <c r="Y16">
        <f>W16-X16</f>
        <v/>
      </c>
      <c r="Z16">
        <f>W16</f>
        <v/>
      </c>
      <c r="AA16">
        <f>AA15+Z16</f>
        <v/>
      </c>
      <c r="AB16">
        <f>1/(1+((1+Assumptions!$B$6)^(1/12)-1))^A16</f>
        <v/>
      </c>
      <c r="AC16">
        <f>AC15+Z16*AB16</f>
        <v/>
      </c>
    </row>
    <row r="17">
      <c r="A17" t="n">
        <v>15</v>
      </c>
      <c r="B17">
        <f>(1+Assumptions!$B$4)^INT((A17-1)/12)</f>
        <v/>
      </c>
      <c r="C17">
        <f>MIN(0.95,0.892727*Assumptions!$B$114)</f>
        <v/>
      </c>
      <c r="D17">
        <f>C17*Assumptions!$B$125</f>
        <v/>
      </c>
      <c r="E17">
        <f>Assumptions!$B$112*Assumptions!$B$113*B17</f>
        <v/>
      </c>
      <c r="F17">
        <f>D17*E17*Assumptions!$B$16</f>
        <v/>
      </c>
      <c r="G17">
        <f>MAX(Assumptions!$B$117*F17,Assumptions!$B$111*Assumptions!$B$32*B17)</f>
        <v/>
      </c>
      <c r="H17">
        <f>Assumptions!$B$115*Assumptions!$B$116*B17</f>
        <v/>
      </c>
      <c r="I17">
        <f>(Assumptions!$B$124+Assumptions!$B$36)*B17</f>
        <v/>
      </c>
      <c r="J17">
        <f>MAX(Assumptions!$B$123*B17*D17*Assumptions!$B$16,Assumptions!$B$39*B17)</f>
        <v/>
      </c>
      <c r="K17">
        <f>Assumptions!$B$40*B17</f>
        <v/>
      </c>
      <c r="L17">
        <f>Assumptions!$B$41*B17</f>
        <v/>
      </c>
      <c r="M17">
        <f>Assumptions!$B$42</f>
        <v/>
      </c>
      <c r="N17">
        <f>F17*Assumptions!$B$44*Assumptions!$B$45+Assumptions!$B$46</f>
        <v/>
      </c>
      <c r="O17">
        <f>IF(A17&lt;=12,MAX(Assumptions!$B$47*F17,Assumptions!$B$48*B17),MAX(Assumptions!$B$49*F17,Assumptions!$B$50*B17))</f>
        <v/>
      </c>
      <c r="P17">
        <f>(Assumptions!$B$51+IF(Assumptions!$B$118=1,Assumptions!$B$52,0))*B17</f>
        <v/>
      </c>
      <c r="Q17">
        <f>MAX(Assumptions!$B$53*F17,Assumptions!$B$54*B17)</f>
        <v/>
      </c>
      <c r="R17">
        <f>IF(AND(Assumptions!$B$120&gt;0,A17&gt;=2),MAX(Assumptions!$B$120*F17,Assumptions!$B$121),0)</f>
        <v/>
      </c>
      <c r="S17">
        <f>J17+K17+L17+M17+N17+O17+P17+R17+Q17*Assumptions!$B$55+IF(Assumptions!$B$118=1,G17,0)+IF(Assumptions!$B$119=1,H17,0)</f>
        <v/>
      </c>
      <c r="T17">
        <f>MAX(Assumptions!$B$58*F17-Assumptions!$B$59*S17,Assumptions!$B$60*F17)</f>
        <v/>
      </c>
      <c r="U17">
        <f>Assumptions!$B$56+IF(A17&gt;=13,Assumptions!$B$57/12,0)</f>
        <v/>
      </c>
      <c r="V17">
        <f>SUM(G17:R17)+T17+U17</f>
        <v/>
      </c>
      <c r="W17">
        <f>F17-V17</f>
        <v/>
      </c>
      <c r="X17">
        <f>(CAPEX!$B$32+Assumptions!$B$122)/Assumptions!$B$68</f>
        <v/>
      </c>
      <c r="Y17">
        <f>W17-X17</f>
        <v/>
      </c>
      <c r="Z17">
        <f>W17</f>
        <v/>
      </c>
      <c r="AA17">
        <f>AA16+Z17</f>
        <v/>
      </c>
      <c r="AB17">
        <f>1/(1+((1+Assumptions!$B$6)^(1/12)-1))^A17</f>
        <v/>
      </c>
      <c r="AC17">
        <f>AC16+Z17*AB17</f>
        <v/>
      </c>
    </row>
    <row r="18">
      <c r="A18" t="n">
        <v>16</v>
      </c>
      <c r="B18">
        <f>(1+Assumptions!$B$4)^INT((A18-1)/12)</f>
        <v/>
      </c>
      <c r="C18">
        <f>MIN(0.95,0.899091*Assumptions!$B$114)</f>
        <v/>
      </c>
      <c r="D18">
        <f>C18*Assumptions!$B$125</f>
        <v/>
      </c>
      <c r="E18">
        <f>Assumptions!$B$112*Assumptions!$B$113*B18</f>
        <v/>
      </c>
      <c r="F18">
        <f>D18*E18*Assumptions!$B$16</f>
        <v/>
      </c>
      <c r="G18">
        <f>MAX(Assumptions!$B$117*F18,Assumptions!$B$111*Assumptions!$B$32*B18)</f>
        <v/>
      </c>
      <c r="H18">
        <f>Assumptions!$B$115*Assumptions!$B$116*B18</f>
        <v/>
      </c>
      <c r="I18">
        <f>(Assumptions!$B$124+Assumptions!$B$36)*B18</f>
        <v/>
      </c>
      <c r="J18">
        <f>MAX(Assumptions!$B$123*B18*D18*Assumptions!$B$16,Assumptions!$B$39*B18)</f>
        <v/>
      </c>
      <c r="K18">
        <f>Assumptions!$B$40*B18</f>
        <v/>
      </c>
      <c r="L18">
        <f>Assumptions!$B$41*B18</f>
        <v/>
      </c>
      <c r="M18">
        <f>Assumptions!$B$42</f>
        <v/>
      </c>
      <c r="N18">
        <f>F18*Assumptions!$B$44*Assumptions!$B$45+Assumptions!$B$46</f>
        <v/>
      </c>
      <c r="O18">
        <f>IF(A18&lt;=12,MAX(Assumptions!$B$47*F18,Assumptions!$B$48*B18),MAX(Assumptions!$B$49*F18,Assumptions!$B$50*B18))</f>
        <v/>
      </c>
      <c r="P18">
        <f>(Assumptions!$B$51+IF(Assumptions!$B$118=1,Assumptions!$B$52,0))*B18</f>
        <v/>
      </c>
      <c r="Q18">
        <f>MAX(Assumptions!$B$53*F18,Assumptions!$B$54*B18)</f>
        <v/>
      </c>
      <c r="R18">
        <f>IF(AND(Assumptions!$B$120&gt;0,A18&gt;=2),MAX(Assumptions!$B$120*F18,Assumptions!$B$121),0)</f>
        <v/>
      </c>
      <c r="S18">
        <f>J18+K18+L18+M18+N18+O18+P18+R18+Q18*Assumptions!$B$55+IF(Assumptions!$B$118=1,G18,0)+IF(Assumptions!$B$119=1,H18,0)</f>
        <v/>
      </c>
      <c r="T18">
        <f>MAX(Assumptions!$B$58*F18-Assumptions!$B$59*S18,Assumptions!$B$60*F18)</f>
        <v/>
      </c>
      <c r="U18">
        <f>Assumptions!$B$56+IF(A18&gt;=13,Assumptions!$B$57/12,0)</f>
        <v/>
      </c>
      <c r="V18">
        <f>SUM(G18:R18)+T18+U18</f>
        <v/>
      </c>
      <c r="W18">
        <f>F18-V18</f>
        <v/>
      </c>
      <c r="X18">
        <f>(CAPEX!$B$32+Assumptions!$B$122)/Assumptions!$B$68</f>
        <v/>
      </c>
      <c r="Y18">
        <f>W18-X18</f>
        <v/>
      </c>
      <c r="Z18">
        <f>W18</f>
        <v/>
      </c>
      <c r="AA18">
        <f>AA17+Z18</f>
        <v/>
      </c>
      <c r="AB18">
        <f>1/(1+((1+Assumptions!$B$6)^(1/12)-1))^A18</f>
        <v/>
      </c>
      <c r="AC18">
        <f>AC17+Z18*AB18</f>
        <v/>
      </c>
    </row>
    <row r="19">
      <c r="A19" t="n">
        <v>17</v>
      </c>
      <c r="B19">
        <f>(1+Assumptions!$B$4)^INT((A19-1)/12)</f>
        <v/>
      </c>
      <c r="C19">
        <f>MIN(0.95,0.905455*Assumptions!$B$114)</f>
        <v/>
      </c>
      <c r="D19">
        <f>C19*Assumptions!$B$125</f>
        <v/>
      </c>
      <c r="E19">
        <f>Assumptions!$B$112*Assumptions!$B$113*B19</f>
        <v/>
      </c>
      <c r="F19">
        <f>D19*E19*Assumptions!$B$16</f>
        <v/>
      </c>
      <c r="G19">
        <f>MAX(Assumptions!$B$117*F19,Assumptions!$B$111*Assumptions!$B$32*B19)</f>
        <v/>
      </c>
      <c r="H19">
        <f>Assumptions!$B$115*Assumptions!$B$116*B19</f>
        <v/>
      </c>
      <c r="I19">
        <f>(Assumptions!$B$124+Assumptions!$B$36)*B19</f>
        <v/>
      </c>
      <c r="J19">
        <f>MAX(Assumptions!$B$123*B19*D19*Assumptions!$B$16,Assumptions!$B$39*B19)</f>
        <v/>
      </c>
      <c r="K19">
        <f>Assumptions!$B$40*B19</f>
        <v/>
      </c>
      <c r="L19">
        <f>Assumptions!$B$41*B19</f>
        <v/>
      </c>
      <c r="M19">
        <f>Assumptions!$B$42</f>
        <v/>
      </c>
      <c r="N19">
        <f>F19*Assumptions!$B$44*Assumptions!$B$45+Assumptions!$B$46</f>
        <v/>
      </c>
      <c r="O19">
        <f>IF(A19&lt;=12,MAX(Assumptions!$B$47*F19,Assumptions!$B$48*B19),MAX(Assumptions!$B$49*F19,Assumptions!$B$50*B19))</f>
        <v/>
      </c>
      <c r="P19">
        <f>(Assumptions!$B$51+IF(Assumptions!$B$118=1,Assumptions!$B$52,0))*B19</f>
        <v/>
      </c>
      <c r="Q19">
        <f>MAX(Assumptions!$B$53*F19,Assumptions!$B$54*B19)</f>
        <v/>
      </c>
      <c r="R19">
        <f>IF(AND(Assumptions!$B$120&gt;0,A19&gt;=2),MAX(Assumptions!$B$120*F19,Assumptions!$B$121),0)</f>
        <v/>
      </c>
      <c r="S19">
        <f>J19+K19+L19+M19+N19+O19+P19+R19+Q19*Assumptions!$B$55+IF(Assumptions!$B$118=1,G19,0)+IF(Assumptions!$B$119=1,H19,0)</f>
        <v/>
      </c>
      <c r="T19">
        <f>MAX(Assumptions!$B$58*F19-Assumptions!$B$59*S19,Assumptions!$B$60*F19)</f>
        <v/>
      </c>
      <c r="U19">
        <f>Assumptions!$B$56+IF(A19&gt;=13,Assumptions!$B$57/12,0)</f>
        <v/>
      </c>
      <c r="V19">
        <f>SUM(G19:R19)+T19+U19</f>
        <v/>
      </c>
      <c r="W19">
        <f>F19-V19</f>
        <v/>
      </c>
      <c r="X19">
        <f>(CAPEX!$B$32+Assumptions!$B$122)/Assumptions!$B$68</f>
        <v/>
      </c>
      <c r="Y19">
        <f>W19-X19</f>
        <v/>
      </c>
      <c r="Z19">
        <f>W19</f>
        <v/>
      </c>
      <c r="AA19">
        <f>AA18+Z19</f>
        <v/>
      </c>
      <c r="AB19">
        <f>1/(1+((1+Assumptions!$B$6)^(1/12)-1))^A19</f>
        <v/>
      </c>
      <c r="AC19">
        <f>AC18+Z19*AB19</f>
        <v/>
      </c>
    </row>
    <row r="20">
      <c r="A20" t="n">
        <v>18</v>
      </c>
      <c r="B20">
        <f>(1+Assumptions!$B$4)^INT((A20-1)/12)</f>
        <v/>
      </c>
      <c r="C20">
        <f>MIN(0.95,0.911818*Assumptions!$B$114)</f>
        <v/>
      </c>
      <c r="D20">
        <f>C20*Assumptions!$B$125</f>
        <v/>
      </c>
      <c r="E20">
        <f>Assumptions!$B$112*Assumptions!$B$113*B20</f>
        <v/>
      </c>
      <c r="F20">
        <f>D20*E20*Assumptions!$B$16</f>
        <v/>
      </c>
      <c r="G20">
        <f>MAX(Assumptions!$B$117*F20,Assumptions!$B$111*Assumptions!$B$32*B20)</f>
        <v/>
      </c>
      <c r="H20">
        <f>Assumptions!$B$115*Assumptions!$B$116*B20</f>
        <v/>
      </c>
      <c r="I20">
        <f>(Assumptions!$B$124+Assumptions!$B$36)*B20</f>
        <v/>
      </c>
      <c r="J20">
        <f>MAX(Assumptions!$B$123*B20*D20*Assumptions!$B$16,Assumptions!$B$39*B20)</f>
        <v/>
      </c>
      <c r="K20">
        <f>Assumptions!$B$40*B20</f>
        <v/>
      </c>
      <c r="L20">
        <f>Assumptions!$B$41*B20</f>
        <v/>
      </c>
      <c r="M20">
        <f>Assumptions!$B$42</f>
        <v/>
      </c>
      <c r="N20">
        <f>F20*Assumptions!$B$44*Assumptions!$B$45+Assumptions!$B$46</f>
        <v/>
      </c>
      <c r="O20">
        <f>IF(A20&lt;=12,MAX(Assumptions!$B$47*F20,Assumptions!$B$48*B20),MAX(Assumptions!$B$49*F20,Assumptions!$B$50*B20))</f>
        <v/>
      </c>
      <c r="P20">
        <f>(Assumptions!$B$51+IF(Assumptions!$B$118=1,Assumptions!$B$52,0))*B20</f>
        <v/>
      </c>
      <c r="Q20">
        <f>MAX(Assumptions!$B$53*F20,Assumptions!$B$54*B20)</f>
        <v/>
      </c>
      <c r="R20">
        <f>IF(AND(Assumptions!$B$120&gt;0,A20&gt;=2),MAX(Assumptions!$B$120*F20,Assumptions!$B$121),0)</f>
        <v/>
      </c>
      <c r="S20">
        <f>J20+K20+L20+M20+N20+O20+P20+R20+Q20*Assumptions!$B$55+IF(Assumptions!$B$118=1,G20,0)+IF(Assumptions!$B$119=1,H20,0)</f>
        <v/>
      </c>
      <c r="T20">
        <f>MAX(Assumptions!$B$58*F20-Assumptions!$B$59*S20,Assumptions!$B$60*F20)</f>
        <v/>
      </c>
      <c r="U20">
        <f>Assumptions!$B$56+IF(A20&gt;=13,Assumptions!$B$57/12,0)</f>
        <v/>
      </c>
      <c r="V20">
        <f>SUM(G20:R20)+T20+U20</f>
        <v/>
      </c>
      <c r="W20">
        <f>F20-V20</f>
        <v/>
      </c>
      <c r="X20">
        <f>(CAPEX!$B$32+Assumptions!$B$122)/Assumptions!$B$68</f>
        <v/>
      </c>
      <c r="Y20">
        <f>W20-X20</f>
        <v/>
      </c>
      <c r="Z20">
        <f>W20</f>
        <v/>
      </c>
      <c r="AA20">
        <f>AA19+Z20</f>
        <v/>
      </c>
      <c r="AB20">
        <f>1/(1+((1+Assumptions!$B$6)^(1/12)-1))^A20</f>
        <v/>
      </c>
      <c r="AC20">
        <f>AC19+Z20*AB20</f>
        <v/>
      </c>
    </row>
    <row r="21">
      <c r="A21" t="n">
        <v>19</v>
      </c>
      <c r="B21">
        <f>(1+Assumptions!$B$4)^INT((A21-1)/12)</f>
        <v/>
      </c>
      <c r="C21">
        <f>MIN(0.95,0.918182*Assumptions!$B$114)</f>
        <v/>
      </c>
      <c r="D21">
        <f>C21*Assumptions!$B$125</f>
        <v/>
      </c>
      <c r="E21">
        <f>Assumptions!$B$112*Assumptions!$B$113*B21</f>
        <v/>
      </c>
      <c r="F21">
        <f>D21*E21*Assumptions!$B$16</f>
        <v/>
      </c>
      <c r="G21">
        <f>MAX(Assumptions!$B$117*F21,Assumptions!$B$111*Assumptions!$B$32*B21)</f>
        <v/>
      </c>
      <c r="H21">
        <f>Assumptions!$B$115*Assumptions!$B$116*B21</f>
        <v/>
      </c>
      <c r="I21">
        <f>(Assumptions!$B$124+Assumptions!$B$36)*B21</f>
        <v/>
      </c>
      <c r="J21">
        <f>MAX(Assumptions!$B$123*B21*D21*Assumptions!$B$16,Assumptions!$B$39*B21)</f>
        <v/>
      </c>
      <c r="K21">
        <f>Assumptions!$B$40*B21</f>
        <v/>
      </c>
      <c r="L21">
        <f>Assumptions!$B$41*B21</f>
        <v/>
      </c>
      <c r="M21">
        <f>Assumptions!$B$42</f>
        <v/>
      </c>
      <c r="N21">
        <f>F21*Assumptions!$B$44*Assumptions!$B$45+Assumptions!$B$46</f>
        <v/>
      </c>
      <c r="O21">
        <f>IF(A21&lt;=12,MAX(Assumptions!$B$47*F21,Assumptions!$B$48*B21),MAX(Assumptions!$B$49*F21,Assumptions!$B$50*B21))</f>
        <v/>
      </c>
      <c r="P21">
        <f>(Assumptions!$B$51+IF(Assumptions!$B$118=1,Assumptions!$B$52,0))*B21</f>
        <v/>
      </c>
      <c r="Q21">
        <f>MAX(Assumptions!$B$53*F21,Assumptions!$B$54*B21)</f>
        <v/>
      </c>
      <c r="R21">
        <f>IF(AND(Assumptions!$B$120&gt;0,A21&gt;=2),MAX(Assumptions!$B$120*F21,Assumptions!$B$121),0)</f>
        <v/>
      </c>
      <c r="S21">
        <f>J21+K21+L21+M21+N21+O21+P21+R21+Q21*Assumptions!$B$55+IF(Assumptions!$B$118=1,G21,0)+IF(Assumptions!$B$119=1,H21,0)</f>
        <v/>
      </c>
      <c r="T21">
        <f>MAX(Assumptions!$B$58*F21-Assumptions!$B$59*S21,Assumptions!$B$60*F21)</f>
        <v/>
      </c>
      <c r="U21">
        <f>Assumptions!$B$56+IF(A21&gt;=13,Assumptions!$B$57/12,0)</f>
        <v/>
      </c>
      <c r="V21">
        <f>SUM(G21:R21)+T21+U21</f>
        <v/>
      </c>
      <c r="W21">
        <f>F21-V21</f>
        <v/>
      </c>
      <c r="X21">
        <f>(CAPEX!$B$32+Assumptions!$B$122)/Assumptions!$B$68</f>
        <v/>
      </c>
      <c r="Y21">
        <f>W21-X21</f>
        <v/>
      </c>
      <c r="Z21">
        <f>W21</f>
        <v/>
      </c>
      <c r="AA21">
        <f>AA20+Z21</f>
        <v/>
      </c>
      <c r="AB21">
        <f>1/(1+((1+Assumptions!$B$6)^(1/12)-1))^A21</f>
        <v/>
      </c>
      <c r="AC21">
        <f>AC20+Z21*AB21</f>
        <v/>
      </c>
    </row>
    <row r="22">
      <c r="A22" t="n">
        <v>20</v>
      </c>
      <c r="B22">
        <f>(1+Assumptions!$B$4)^INT((A22-1)/12)</f>
        <v/>
      </c>
      <c r="C22">
        <f>MIN(0.95,0.924545*Assumptions!$B$114)</f>
        <v/>
      </c>
      <c r="D22">
        <f>C22*Assumptions!$B$125</f>
        <v/>
      </c>
      <c r="E22">
        <f>Assumptions!$B$112*Assumptions!$B$113*B22</f>
        <v/>
      </c>
      <c r="F22">
        <f>D22*E22*Assumptions!$B$16</f>
        <v/>
      </c>
      <c r="G22">
        <f>MAX(Assumptions!$B$117*F22,Assumptions!$B$111*Assumptions!$B$32*B22)</f>
        <v/>
      </c>
      <c r="H22">
        <f>Assumptions!$B$115*Assumptions!$B$116*B22</f>
        <v/>
      </c>
      <c r="I22">
        <f>(Assumptions!$B$124+Assumptions!$B$36)*B22</f>
        <v/>
      </c>
      <c r="J22">
        <f>MAX(Assumptions!$B$123*B22*D22*Assumptions!$B$16,Assumptions!$B$39*B22)</f>
        <v/>
      </c>
      <c r="K22">
        <f>Assumptions!$B$40*B22</f>
        <v/>
      </c>
      <c r="L22">
        <f>Assumptions!$B$41*B22</f>
        <v/>
      </c>
      <c r="M22">
        <f>Assumptions!$B$42</f>
        <v/>
      </c>
      <c r="N22">
        <f>F22*Assumptions!$B$44*Assumptions!$B$45+Assumptions!$B$46</f>
        <v/>
      </c>
      <c r="O22">
        <f>IF(A22&lt;=12,MAX(Assumptions!$B$47*F22,Assumptions!$B$48*B22),MAX(Assumptions!$B$49*F22,Assumptions!$B$50*B22))</f>
        <v/>
      </c>
      <c r="P22">
        <f>(Assumptions!$B$51+IF(Assumptions!$B$118=1,Assumptions!$B$52,0))*B22</f>
        <v/>
      </c>
      <c r="Q22">
        <f>MAX(Assumptions!$B$53*F22,Assumptions!$B$54*B22)</f>
        <v/>
      </c>
      <c r="R22">
        <f>IF(AND(Assumptions!$B$120&gt;0,A22&gt;=2),MAX(Assumptions!$B$120*F22,Assumptions!$B$121),0)</f>
        <v/>
      </c>
      <c r="S22">
        <f>J22+K22+L22+M22+N22+O22+P22+R22+Q22*Assumptions!$B$55+IF(Assumptions!$B$118=1,G22,0)+IF(Assumptions!$B$119=1,H22,0)</f>
        <v/>
      </c>
      <c r="T22">
        <f>MAX(Assumptions!$B$58*F22-Assumptions!$B$59*S22,Assumptions!$B$60*F22)</f>
        <v/>
      </c>
      <c r="U22">
        <f>Assumptions!$B$56+IF(A22&gt;=13,Assumptions!$B$57/12,0)</f>
        <v/>
      </c>
      <c r="V22">
        <f>SUM(G22:R22)+T22+U22</f>
        <v/>
      </c>
      <c r="W22">
        <f>F22-V22</f>
        <v/>
      </c>
      <c r="X22">
        <f>(CAPEX!$B$32+Assumptions!$B$122)/Assumptions!$B$68</f>
        <v/>
      </c>
      <c r="Y22">
        <f>W22-X22</f>
        <v/>
      </c>
      <c r="Z22">
        <f>W22</f>
        <v/>
      </c>
      <c r="AA22">
        <f>AA21+Z22</f>
        <v/>
      </c>
      <c r="AB22">
        <f>1/(1+((1+Assumptions!$B$6)^(1/12)-1))^A22</f>
        <v/>
      </c>
      <c r="AC22">
        <f>AC21+Z22*AB22</f>
        <v/>
      </c>
    </row>
    <row r="23">
      <c r="A23" t="n">
        <v>21</v>
      </c>
      <c r="B23">
        <f>(1+Assumptions!$B$4)^INT((A23-1)/12)</f>
        <v/>
      </c>
      <c r="C23">
        <f>MIN(0.95,0.930909*Assumptions!$B$114)</f>
        <v/>
      </c>
      <c r="D23">
        <f>C23*Assumptions!$B$125</f>
        <v/>
      </c>
      <c r="E23">
        <f>Assumptions!$B$112*Assumptions!$B$113*B23</f>
        <v/>
      </c>
      <c r="F23">
        <f>D23*E23*Assumptions!$B$16</f>
        <v/>
      </c>
      <c r="G23">
        <f>MAX(Assumptions!$B$117*F23,Assumptions!$B$111*Assumptions!$B$32*B23)</f>
        <v/>
      </c>
      <c r="H23">
        <f>Assumptions!$B$115*Assumptions!$B$116*B23</f>
        <v/>
      </c>
      <c r="I23">
        <f>(Assumptions!$B$124+Assumptions!$B$36)*B23</f>
        <v/>
      </c>
      <c r="J23">
        <f>MAX(Assumptions!$B$123*B23*D23*Assumptions!$B$16,Assumptions!$B$39*B23)</f>
        <v/>
      </c>
      <c r="K23">
        <f>Assumptions!$B$40*B23</f>
        <v/>
      </c>
      <c r="L23">
        <f>Assumptions!$B$41*B23</f>
        <v/>
      </c>
      <c r="M23">
        <f>Assumptions!$B$42</f>
        <v/>
      </c>
      <c r="N23">
        <f>F23*Assumptions!$B$44*Assumptions!$B$45+Assumptions!$B$46</f>
        <v/>
      </c>
      <c r="O23">
        <f>IF(A23&lt;=12,MAX(Assumptions!$B$47*F23,Assumptions!$B$48*B23),MAX(Assumptions!$B$49*F23,Assumptions!$B$50*B23))</f>
        <v/>
      </c>
      <c r="P23">
        <f>(Assumptions!$B$51+IF(Assumptions!$B$118=1,Assumptions!$B$52,0))*B23</f>
        <v/>
      </c>
      <c r="Q23">
        <f>MAX(Assumptions!$B$53*F23,Assumptions!$B$54*B23)</f>
        <v/>
      </c>
      <c r="R23">
        <f>IF(AND(Assumptions!$B$120&gt;0,A23&gt;=2),MAX(Assumptions!$B$120*F23,Assumptions!$B$121),0)</f>
        <v/>
      </c>
      <c r="S23">
        <f>J23+K23+L23+M23+N23+O23+P23+R23+Q23*Assumptions!$B$55+IF(Assumptions!$B$118=1,G23,0)+IF(Assumptions!$B$119=1,H23,0)</f>
        <v/>
      </c>
      <c r="T23">
        <f>MAX(Assumptions!$B$58*F23-Assumptions!$B$59*S23,Assumptions!$B$60*F23)</f>
        <v/>
      </c>
      <c r="U23">
        <f>Assumptions!$B$56+IF(A23&gt;=13,Assumptions!$B$57/12,0)</f>
        <v/>
      </c>
      <c r="V23">
        <f>SUM(G23:R23)+T23+U23</f>
        <v/>
      </c>
      <c r="W23">
        <f>F23-V23</f>
        <v/>
      </c>
      <c r="X23">
        <f>(CAPEX!$B$32+Assumptions!$B$122)/Assumptions!$B$68</f>
        <v/>
      </c>
      <c r="Y23">
        <f>W23-X23</f>
        <v/>
      </c>
      <c r="Z23">
        <f>W23</f>
        <v/>
      </c>
      <c r="AA23">
        <f>AA22+Z23</f>
        <v/>
      </c>
      <c r="AB23">
        <f>1/(1+((1+Assumptions!$B$6)^(1/12)-1))^A23</f>
        <v/>
      </c>
      <c r="AC23">
        <f>AC22+Z23*AB23</f>
        <v/>
      </c>
    </row>
    <row r="24">
      <c r="A24" t="n">
        <v>22</v>
      </c>
      <c r="B24">
        <f>(1+Assumptions!$B$4)^INT((A24-1)/12)</f>
        <v/>
      </c>
      <c r="C24">
        <f>MIN(0.95,0.937273*Assumptions!$B$114)</f>
        <v/>
      </c>
      <c r="D24">
        <f>C24*Assumptions!$B$125</f>
        <v/>
      </c>
      <c r="E24">
        <f>Assumptions!$B$112*Assumptions!$B$113*B24</f>
        <v/>
      </c>
      <c r="F24">
        <f>D24*E24*Assumptions!$B$16</f>
        <v/>
      </c>
      <c r="G24">
        <f>MAX(Assumptions!$B$117*F24,Assumptions!$B$111*Assumptions!$B$32*B24)</f>
        <v/>
      </c>
      <c r="H24">
        <f>Assumptions!$B$115*Assumptions!$B$116*B24</f>
        <v/>
      </c>
      <c r="I24">
        <f>(Assumptions!$B$124+Assumptions!$B$36)*B24</f>
        <v/>
      </c>
      <c r="J24">
        <f>MAX(Assumptions!$B$123*B24*D24*Assumptions!$B$16,Assumptions!$B$39*B24)</f>
        <v/>
      </c>
      <c r="K24">
        <f>Assumptions!$B$40*B24</f>
        <v/>
      </c>
      <c r="L24">
        <f>Assumptions!$B$41*B24</f>
        <v/>
      </c>
      <c r="M24">
        <f>Assumptions!$B$42</f>
        <v/>
      </c>
      <c r="N24">
        <f>F24*Assumptions!$B$44*Assumptions!$B$45+Assumptions!$B$46</f>
        <v/>
      </c>
      <c r="O24">
        <f>IF(A24&lt;=12,MAX(Assumptions!$B$47*F24,Assumptions!$B$48*B24),MAX(Assumptions!$B$49*F24,Assumptions!$B$50*B24))</f>
        <v/>
      </c>
      <c r="P24">
        <f>(Assumptions!$B$51+IF(Assumptions!$B$118=1,Assumptions!$B$52,0))*B24</f>
        <v/>
      </c>
      <c r="Q24">
        <f>MAX(Assumptions!$B$53*F24,Assumptions!$B$54*B24)</f>
        <v/>
      </c>
      <c r="R24">
        <f>IF(AND(Assumptions!$B$120&gt;0,A24&gt;=2),MAX(Assumptions!$B$120*F24,Assumptions!$B$121),0)</f>
        <v/>
      </c>
      <c r="S24">
        <f>J24+K24+L24+M24+N24+O24+P24+R24+Q24*Assumptions!$B$55+IF(Assumptions!$B$118=1,G24,0)+IF(Assumptions!$B$119=1,H24,0)</f>
        <v/>
      </c>
      <c r="T24">
        <f>MAX(Assumptions!$B$58*F24-Assumptions!$B$59*S24,Assumptions!$B$60*F24)</f>
        <v/>
      </c>
      <c r="U24">
        <f>Assumptions!$B$56+IF(A24&gt;=13,Assumptions!$B$57/12,0)</f>
        <v/>
      </c>
      <c r="V24">
        <f>SUM(G24:R24)+T24+U24</f>
        <v/>
      </c>
      <c r="W24">
        <f>F24-V24</f>
        <v/>
      </c>
      <c r="X24">
        <f>(CAPEX!$B$32+Assumptions!$B$122)/Assumptions!$B$68</f>
        <v/>
      </c>
      <c r="Y24">
        <f>W24-X24</f>
        <v/>
      </c>
      <c r="Z24">
        <f>W24</f>
        <v/>
      </c>
      <c r="AA24">
        <f>AA23+Z24</f>
        <v/>
      </c>
      <c r="AB24">
        <f>1/(1+((1+Assumptions!$B$6)^(1/12)-1))^A24</f>
        <v/>
      </c>
      <c r="AC24">
        <f>AC23+Z24*AB24</f>
        <v/>
      </c>
    </row>
    <row r="25">
      <c r="A25" t="n">
        <v>23</v>
      </c>
      <c r="B25">
        <f>(1+Assumptions!$B$4)^INT((A25-1)/12)</f>
        <v/>
      </c>
      <c r="C25">
        <f>MIN(0.95,0.943636*Assumptions!$B$114)</f>
        <v/>
      </c>
      <c r="D25">
        <f>C25*Assumptions!$B$125</f>
        <v/>
      </c>
      <c r="E25">
        <f>Assumptions!$B$112*Assumptions!$B$113*B25</f>
        <v/>
      </c>
      <c r="F25">
        <f>D25*E25*Assumptions!$B$16</f>
        <v/>
      </c>
      <c r="G25">
        <f>MAX(Assumptions!$B$117*F25,Assumptions!$B$111*Assumptions!$B$32*B25)</f>
        <v/>
      </c>
      <c r="H25">
        <f>Assumptions!$B$115*Assumptions!$B$116*B25</f>
        <v/>
      </c>
      <c r="I25">
        <f>(Assumptions!$B$124+Assumptions!$B$36)*B25</f>
        <v/>
      </c>
      <c r="J25">
        <f>MAX(Assumptions!$B$123*B25*D25*Assumptions!$B$16,Assumptions!$B$39*B25)</f>
        <v/>
      </c>
      <c r="K25">
        <f>Assumptions!$B$40*B25</f>
        <v/>
      </c>
      <c r="L25">
        <f>Assumptions!$B$41*B25</f>
        <v/>
      </c>
      <c r="M25">
        <f>Assumptions!$B$42</f>
        <v/>
      </c>
      <c r="N25">
        <f>F25*Assumptions!$B$44*Assumptions!$B$45+Assumptions!$B$46</f>
        <v/>
      </c>
      <c r="O25">
        <f>IF(A25&lt;=12,MAX(Assumptions!$B$47*F25,Assumptions!$B$48*B25),MAX(Assumptions!$B$49*F25,Assumptions!$B$50*B25))</f>
        <v/>
      </c>
      <c r="P25">
        <f>(Assumptions!$B$51+IF(Assumptions!$B$118=1,Assumptions!$B$52,0))*B25</f>
        <v/>
      </c>
      <c r="Q25">
        <f>MAX(Assumptions!$B$53*F25,Assumptions!$B$54*B25)</f>
        <v/>
      </c>
      <c r="R25">
        <f>IF(AND(Assumptions!$B$120&gt;0,A25&gt;=2),MAX(Assumptions!$B$120*F25,Assumptions!$B$121),0)</f>
        <v/>
      </c>
      <c r="S25">
        <f>J25+K25+L25+M25+N25+O25+P25+R25+Q25*Assumptions!$B$55+IF(Assumptions!$B$118=1,G25,0)+IF(Assumptions!$B$119=1,H25,0)</f>
        <v/>
      </c>
      <c r="T25">
        <f>MAX(Assumptions!$B$58*F25-Assumptions!$B$59*S25,Assumptions!$B$60*F25)</f>
        <v/>
      </c>
      <c r="U25">
        <f>Assumptions!$B$56+IF(A25&gt;=13,Assumptions!$B$57/12,0)</f>
        <v/>
      </c>
      <c r="V25">
        <f>SUM(G25:R25)+T25+U25</f>
        <v/>
      </c>
      <c r="W25">
        <f>F25-V25</f>
        <v/>
      </c>
      <c r="X25">
        <f>(CAPEX!$B$32+Assumptions!$B$122)/Assumptions!$B$68</f>
        <v/>
      </c>
      <c r="Y25">
        <f>W25-X25</f>
        <v/>
      </c>
      <c r="Z25">
        <f>W25</f>
        <v/>
      </c>
      <c r="AA25">
        <f>AA24+Z25</f>
        <v/>
      </c>
      <c r="AB25">
        <f>1/(1+((1+Assumptions!$B$6)^(1/12)-1))^A25</f>
        <v/>
      </c>
      <c r="AC25">
        <f>AC24+Z25*AB25</f>
        <v/>
      </c>
    </row>
    <row r="26">
      <c r="A26" t="n">
        <v>24</v>
      </c>
      <c r="B26">
        <f>(1+Assumptions!$B$4)^INT((A26-1)/12)</f>
        <v/>
      </c>
      <c r="C26">
        <f>MIN(0.95,0.95*Assumptions!$B$114)</f>
        <v/>
      </c>
      <c r="D26">
        <f>C26*Assumptions!$B$125</f>
        <v/>
      </c>
      <c r="E26">
        <f>Assumptions!$B$112*Assumptions!$B$113*B26</f>
        <v/>
      </c>
      <c r="F26">
        <f>D26*E26*Assumptions!$B$16</f>
        <v/>
      </c>
      <c r="G26">
        <f>MAX(Assumptions!$B$117*F26,Assumptions!$B$111*Assumptions!$B$32*B26)</f>
        <v/>
      </c>
      <c r="H26">
        <f>Assumptions!$B$115*Assumptions!$B$116*B26</f>
        <v/>
      </c>
      <c r="I26">
        <f>(Assumptions!$B$124+Assumptions!$B$36)*B26</f>
        <v/>
      </c>
      <c r="J26">
        <f>MAX(Assumptions!$B$123*B26*D26*Assumptions!$B$16,Assumptions!$B$39*B26)</f>
        <v/>
      </c>
      <c r="K26">
        <f>Assumptions!$B$40*B26</f>
        <v/>
      </c>
      <c r="L26">
        <f>Assumptions!$B$41*B26</f>
        <v/>
      </c>
      <c r="M26">
        <f>Assumptions!$B$42</f>
        <v/>
      </c>
      <c r="N26">
        <f>F26*Assumptions!$B$44*Assumptions!$B$45+Assumptions!$B$46</f>
        <v/>
      </c>
      <c r="O26">
        <f>IF(A26&lt;=12,MAX(Assumptions!$B$47*F26,Assumptions!$B$48*B26),MAX(Assumptions!$B$49*F26,Assumptions!$B$50*B26))</f>
        <v/>
      </c>
      <c r="P26">
        <f>(Assumptions!$B$51+IF(Assumptions!$B$118=1,Assumptions!$B$52,0))*B26</f>
        <v/>
      </c>
      <c r="Q26">
        <f>MAX(Assumptions!$B$53*F26,Assumptions!$B$54*B26)</f>
        <v/>
      </c>
      <c r="R26">
        <f>IF(AND(Assumptions!$B$120&gt;0,A26&gt;=2),MAX(Assumptions!$B$120*F26,Assumptions!$B$121),0)</f>
        <v/>
      </c>
      <c r="S26">
        <f>J26+K26+L26+M26+N26+O26+P26+R26+Q26*Assumptions!$B$55+IF(Assumptions!$B$118=1,G26,0)+IF(Assumptions!$B$119=1,H26,0)</f>
        <v/>
      </c>
      <c r="T26">
        <f>MAX(Assumptions!$B$58*F26-Assumptions!$B$59*S26,Assumptions!$B$60*F26)</f>
        <v/>
      </c>
      <c r="U26">
        <f>Assumptions!$B$56+IF(A26&gt;=13,Assumptions!$B$57/12,0)</f>
        <v/>
      </c>
      <c r="V26">
        <f>SUM(G26:R26)+T26+U26</f>
        <v/>
      </c>
      <c r="W26">
        <f>F26-V26</f>
        <v/>
      </c>
      <c r="X26">
        <f>(CAPEX!$B$32+Assumptions!$B$122)/Assumptions!$B$68</f>
        <v/>
      </c>
      <c r="Y26">
        <f>W26-X26</f>
        <v/>
      </c>
      <c r="Z26">
        <f>W26</f>
        <v/>
      </c>
      <c r="AA26">
        <f>AA25+Z26</f>
        <v/>
      </c>
      <c r="AB26">
        <f>1/(1+((1+Assumptions!$B$6)^(1/12)-1))^A26</f>
        <v/>
      </c>
      <c r="AC26">
        <f>AC25+Z26*AB26</f>
        <v/>
      </c>
    </row>
    <row r="27">
      <c r="A27" t="n">
        <v>25</v>
      </c>
      <c r="B27">
        <f>(1+Assumptions!$B$4)^INT((A27-1)/12)</f>
        <v/>
      </c>
      <c r="C27">
        <f>MIN(0.95,0.97*Assumptions!$B$114)</f>
        <v/>
      </c>
      <c r="D27">
        <f>C27*Assumptions!$B$125</f>
        <v/>
      </c>
      <c r="E27">
        <f>Assumptions!$B$112*Assumptions!$B$113*B27</f>
        <v/>
      </c>
      <c r="F27">
        <f>D27*E27*Assumptions!$B$16</f>
        <v/>
      </c>
      <c r="G27">
        <f>MAX(Assumptions!$B$117*F27,Assumptions!$B$111*Assumptions!$B$32*B27)</f>
        <v/>
      </c>
      <c r="H27">
        <f>Assumptions!$B$115*Assumptions!$B$116*B27</f>
        <v/>
      </c>
      <c r="I27">
        <f>(Assumptions!$B$124+Assumptions!$B$36)*B27</f>
        <v/>
      </c>
      <c r="J27">
        <f>MAX(Assumptions!$B$123*B27*D27*Assumptions!$B$16,Assumptions!$B$39*B27)</f>
        <v/>
      </c>
      <c r="K27">
        <f>Assumptions!$B$40*B27</f>
        <v/>
      </c>
      <c r="L27">
        <f>Assumptions!$B$41*B27</f>
        <v/>
      </c>
      <c r="M27">
        <f>Assumptions!$B$42</f>
        <v/>
      </c>
      <c r="N27">
        <f>F27*Assumptions!$B$44*Assumptions!$B$45+Assumptions!$B$46</f>
        <v/>
      </c>
      <c r="O27">
        <f>IF(A27&lt;=12,MAX(Assumptions!$B$47*F27,Assumptions!$B$48*B27),MAX(Assumptions!$B$49*F27,Assumptions!$B$50*B27))</f>
        <v/>
      </c>
      <c r="P27">
        <f>(Assumptions!$B$51+IF(Assumptions!$B$118=1,Assumptions!$B$52,0))*B27</f>
        <v/>
      </c>
      <c r="Q27">
        <f>MAX(Assumptions!$B$53*F27,Assumptions!$B$54*B27)</f>
        <v/>
      </c>
      <c r="R27">
        <f>IF(AND(Assumptions!$B$120&gt;0,A27&gt;=2),MAX(Assumptions!$B$120*F27,Assumptions!$B$121),0)</f>
        <v/>
      </c>
      <c r="S27">
        <f>J27+K27+L27+M27+N27+O27+P27+R27+Q27*Assumptions!$B$55+IF(Assumptions!$B$118=1,G27,0)+IF(Assumptions!$B$119=1,H27,0)</f>
        <v/>
      </c>
      <c r="T27">
        <f>MAX(Assumptions!$B$58*F27-Assumptions!$B$59*S27,Assumptions!$B$60*F27)</f>
        <v/>
      </c>
      <c r="U27">
        <f>Assumptions!$B$56+IF(A27&gt;=13,Assumptions!$B$57/12,0)</f>
        <v/>
      </c>
      <c r="V27">
        <f>SUM(G27:R27)+T27+U27</f>
        <v/>
      </c>
      <c r="W27">
        <f>F27-V27</f>
        <v/>
      </c>
      <c r="X27">
        <f>(CAPEX!$B$32+Assumptions!$B$122)/Assumptions!$B$68</f>
        <v/>
      </c>
      <c r="Y27">
        <f>W27-X27</f>
        <v/>
      </c>
      <c r="Z27">
        <f>W27</f>
        <v/>
      </c>
      <c r="AA27">
        <f>AA26+Z27</f>
        <v/>
      </c>
      <c r="AB27">
        <f>1/(1+((1+Assumptions!$B$6)^(1/12)-1))^A27</f>
        <v/>
      </c>
      <c r="AC27">
        <f>AC26+Z27*AB27</f>
        <v/>
      </c>
    </row>
    <row r="28">
      <c r="A28" t="n">
        <v>26</v>
      </c>
      <c r="B28">
        <f>(1+Assumptions!$B$4)^INT((A28-1)/12)</f>
        <v/>
      </c>
      <c r="C28">
        <f>MIN(0.95,0.972727*Assumptions!$B$114)</f>
        <v/>
      </c>
      <c r="D28">
        <f>C28*Assumptions!$B$125</f>
        <v/>
      </c>
      <c r="E28">
        <f>Assumptions!$B$112*Assumptions!$B$113*B28</f>
        <v/>
      </c>
      <c r="F28">
        <f>D28*E28*Assumptions!$B$16</f>
        <v/>
      </c>
      <c r="G28">
        <f>MAX(Assumptions!$B$117*F28,Assumptions!$B$111*Assumptions!$B$32*B28)</f>
        <v/>
      </c>
      <c r="H28">
        <f>Assumptions!$B$115*Assumptions!$B$116*B28</f>
        <v/>
      </c>
      <c r="I28">
        <f>(Assumptions!$B$124+Assumptions!$B$36)*B28</f>
        <v/>
      </c>
      <c r="J28">
        <f>MAX(Assumptions!$B$123*B28*D28*Assumptions!$B$16,Assumptions!$B$39*B28)</f>
        <v/>
      </c>
      <c r="K28">
        <f>Assumptions!$B$40*B28</f>
        <v/>
      </c>
      <c r="L28">
        <f>Assumptions!$B$41*B28</f>
        <v/>
      </c>
      <c r="M28">
        <f>Assumptions!$B$42</f>
        <v/>
      </c>
      <c r="N28">
        <f>F28*Assumptions!$B$44*Assumptions!$B$45+Assumptions!$B$46</f>
        <v/>
      </c>
      <c r="O28">
        <f>IF(A28&lt;=12,MAX(Assumptions!$B$47*F28,Assumptions!$B$48*B28),MAX(Assumptions!$B$49*F28,Assumptions!$B$50*B28))</f>
        <v/>
      </c>
      <c r="P28">
        <f>(Assumptions!$B$51+IF(Assumptions!$B$118=1,Assumptions!$B$52,0))*B28</f>
        <v/>
      </c>
      <c r="Q28">
        <f>MAX(Assumptions!$B$53*F28,Assumptions!$B$54*B28)</f>
        <v/>
      </c>
      <c r="R28">
        <f>IF(AND(Assumptions!$B$120&gt;0,A28&gt;=2),MAX(Assumptions!$B$120*F28,Assumptions!$B$121),0)</f>
        <v/>
      </c>
      <c r="S28">
        <f>J28+K28+L28+M28+N28+O28+P28+R28+Q28*Assumptions!$B$55+IF(Assumptions!$B$118=1,G28,0)+IF(Assumptions!$B$119=1,H28,0)</f>
        <v/>
      </c>
      <c r="T28">
        <f>MAX(Assumptions!$B$58*F28-Assumptions!$B$59*S28,Assumptions!$B$60*F28)</f>
        <v/>
      </c>
      <c r="U28">
        <f>Assumptions!$B$56+IF(A28&gt;=13,Assumptions!$B$57/12,0)</f>
        <v/>
      </c>
      <c r="V28">
        <f>SUM(G28:R28)+T28+U28</f>
        <v/>
      </c>
      <c r="W28">
        <f>F28-V28</f>
        <v/>
      </c>
      <c r="X28">
        <f>(CAPEX!$B$32+Assumptions!$B$122)/Assumptions!$B$68</f>
        <v/>
      </c>
      <c r="Y28">
        <f>W28-X28</f>
        <v/>
      </c>
      <c r="Z28">
        <f>W28</f>
        <v/>
      </c>
      <c r="AA28">
        <f>AA27+Z28</f>
        <v/>
      </c>
      <c r="AB28">
        <f>1/(1+((1+Assumptions!$B$6)^(1/12)-1))^A28</f>
        <v/>
      </c>
      <c r="AC28">
        <f>AC27+Z28*AB28</f>
        <v/>
      </c>
    </row>
    <row r="29">
      <c r="A29" t="n">
        <v>27</v>
      </c>
      <c r="B29">
        <f>(1+Assumptions!$B$4)^INT((A29-1)/12)</f>
        <v/>
      </c>
      <c r="C29">
        <f>MIN(0.95,0.975455*Assumptions!$B$114)</f>
        <v/>
      </c>
      <c r="D29">
        <f>C29*Assumptions!$B$125</f>
        <v/>
      </c>
      <c r="E29">
        <f>Assumptions!$B$112*Assumptions!$B$113*B29</f>
        <v/>
      </c>
      <c r="F29">
        <f>D29*E29*Assumptions!$B$16</f>
        <v/>
      </c>
      <c r="G29">
        <f>MAX(Assumptions!$B$117*F29,Assumptions!$B$111*Assumptions!$B$32*B29)</f>
        <v/>
      </c>
      <c r="H29">
        <f>Assumptions!$B$115*Assumptions!$B$116*B29</f>
        <v/>
      </c>
      <c r="I29">
        <f>(Assumptions!$B$124+Assumptions!$B$36)*B29</f>
        <v/>
      </c>
      <c r="J29">
        <f>MAX(Assumptions!$B$123*B29*D29*Assumptions!$B$16,Assumptions!$B$39*B29)</f>
        <v/>
      </c>
      <c r="K29">
        <f>Assumptions!$B$40*B29</f>
        <v/>
      </c>
      <c r="L29">
        <f>Assumptions!$B$41*B29</f>
        <v/>
      </c>
      <c r="M29">
        <f>Assumptions!$B$42</f>
        <v/>
      </c>
      <c r="N29">
        <f>F29*Assumptions!$B$44*Assumptions!$B$45+Assumptions!$B$46</f>
        <v/>
      </c>
      <c r="O29">
        <f>IF(A29&lt;=12,MAX(Assumptions!$B$47*F29,Assumptions!$B$48*B29),MAX(Assumptions!$B$49*F29,Assumptions!$B$50*B29))</f>
        <v/>
      </c>
      <c r="P29">
        <f>(Assumptions!$B$51+IF(Assumptions!$B$118=1,Assumptions!$B$52,0))*B29</f>
        <v/>
      </c>
      <c r="Q29">
        <f>MAX(Assumptions!$B$53*F29,Assumptions!$B$54*B29)</f>
        <v/>
      </c>
      <c r="R29">
        <f>IF(AND(Assumptions!$B$120&gt;0,A29&gt;=2),MAX(Assumptions!$B$120*F29,Assumptions!$B$121),0)</f>
        <v/>
      </c>
      <c r="S29">
        <f>J29+K29+L29+M29+N29+O29+P29+R29+Q29*Assumptions!$B$55+IF(Assumptions!$B$118=1,G29,0)+IF(Assumptions!$B$119=1,H29,0)</f>
        <v/>
      </c>
      <c r="T29">
        <f>MAX(Assumptions!$B$58*F29-Assumptions!$B$59*S29,Assumptions!$B$60*F29)</f>
        <v/>
      </c>
      <c r="U29">
        <f>Assumptions!$B$56+IF(A29&gt;=13,Assumptions!$B$57/12,0)</f>
        <v/>
      </c>
      <c r="V29">
        <f>SUM(G29:R29)+T29+U29</f>
        <v/>
      </c>
      <c r="W29">
        <f>F29-V29</f>
        <v/>
      </c>
      <c r="X29">
        <f>(CAPEX!$B$32+Assumptions!$B$122)/Assumptions!$B$68</f>
        <v/>
      </c>
      <c r="Y29">
        <f>W29-X29</f>
        <v/>
      </c>
      <c r="Z29">
        <f>W29</f>
        <v/>
      </c>
      <c r="AA29">
        <f>AA28+Z29</f>
        <v/>
      </c>
      <c r="AB29">
        <f>1/(1+((1+Assumptions!$B$6)^(1/12)-1))^A29</f>
        <v/>
      </c>
      <c r="AC29">
        <f>AC28+Z29*AB29</f>
        <v/>
      </c>
    </row>
    <row r="30">
      <c r="A30" t="n">
        <v>28</v>
      </c>
      <c r="B30">
        <f>(1+Assumptions!$B$4)^INT((A30-1)/12)</f>
        <v/>
      </c>
      <c r="C30">
        <f>MIN(0.95,0.978182*Assumptions!$B$114)</f>
        <v/>
      </c>
      <c r="D30">
        <f>C30*Assumptions!$B$125</f>
        <v/>
      </c>
      <c r="E30">
        <f>Assumptions!$B$112*Assumptions!$B$113*B30</f>
        <v/>
      </c>
      <c r="F30">
        <f>D30*E30*Assumptions!$B$16</f>
        <v/>
      </c>
      <c r="G30">
        <f>MAX(Assumptions!$B$117*F30,Assumptions!$B$111*Assumptions!$B$32*B30)</f>
        <v/>
      </c>
      <c r="H30">
        <f>Assumptions!$B$115*Assumptions!$B$116*B30</f>
        <v/>
      </c>
      <c r="I30">
        <f>(Assumptions!$B$124+Assumptions!$B$36)*B30</f>
        <v/>
      </c>
      <c r="J30">
        <f>MAX(Assumptions!$B$123*B30*D30*Assumptions!$B$16,Assumptions!$B$39*B30)</f>
        <v/>
      </c>
      <c r="K30">
        <f>Assumptions!$B$40*B30</f>
        <v/>
      </c>
      <c r="L30">
        <f>Assumptions!$B$41*B30</f>
        <v/>
      </c>
      <c r="M30">
        <f>Assumptions!$B$42</f>
        <v/>
      </c>
      <c r="N30">
        <f>F30*Assumptions!$B$44*Assumptions!$B$45+Assumptions!$B$46</f>
        <v/>
      </c>
      <c r="O30">
        <f>IF(A30&lt;=12,MAX(Assumptions!$B$47*F30,Assumptions!$B$48*B30),MAX(Assumptions!$B$49*F30,Assumptions!$B$50*B30))</f>
        <v/>
      </c>
      <c r="P30">
        <f>(Assumptions!$B$51+IF(Assumptions!$B$118=1,Assumptions!$B$52,0))*B30</f>
        <v/>
      </c>
      <c r="Q30">
        <f>MAX(Assumptions!$B$53*F30,Assumptions!$B$54*B30)</f>
        <v/>
      </c>
      <c r="R30">
        <f>IF(AND(Assumptions!$B$120&gt;0,A30&gt;=2),MAX(Assumptions!$B$120*F30,Assumptions!$B$121),0)</f>
        <v/>
      </c>
      <c r="S30">
        <f>J30+K30+L30+M30+N30+O30+P30+R30+Q30*Assumptions!$B$55+IF(Assumptions!$B$118=1,G30,0)+IF(Assumptions!$B$119=1,H30,0)</f>
        <v/>
      </c>
      <c r="T30">
        <f>MAX(Assumptions!$B$58*F30-Assumptions!$B$59*S30,Assumptions!$B$60*F30)</f>
        <v/>
      </c>
      <c r="U30">
        <f>Assumptions!$B$56+IF(A30&gt;=13,Assumptions!$B$57/12,0)</f>
        <v/>
      </c>
      <c r="V30">
        <f>SUM(G30:R30)+T30+U30</f>
        <v/>
      </c>
      <c r="W30">
        <f>F30-V30</f>
        <v/>
      </c>
      <c r="X30">
        <f>(CAPEX!$B$32+Assumptions!$B$122)/Assumptions!$B$68</f>
        <v/>
      </c>
      <c r="Y30">
        <f>W30-X30</f>
        <v/>
      </c>
      <c r="Z30">
        <f>W30</f>
        <v/>
      </c>
      <c r="AA30">
        <f>AA29+Z30</f>
        <v/>
      </c>
      <c r="AB30">
        <f>1/(1+((1+Assumptions!$B$6)^(1/12)-1))^A30</f>
        <v/>
      </c>
      <c r="AC30">
        <f>AC29+Z30*AB30</f>
        <v/>
      </c>
    </row>
    <row r="31">
      <c r="A31" t="n">
        <v>29</v>
      </c>
      <c r="B31">
        <f>(1+Assumptions!$B$4)^INT((A31-1)/12)</f>
        <v/>
      </c>
      <c r="C31">
        <f>MIN(0.95,0.980909*Assumptions!$B$114)</f>
        <v/>
      </c>
      <c r="D31">
        <f>C31*Assumptions!$B$125</f>
        <v/>
      </c>
      <c r="E31">
        <f>Assumptions!$B$112*Assumptions!$B$113*B31</f>
        <v/>
      </c>
      <c r="F31">
        <f>D31*E31*Assumptions!$B$16</f>
        <v/>
      </c>
      <c r="G31">
        <f>MAX(Assumptions!$B$117*F31,Assumptions!$B$111*Assumptions!$B$32*B31)</f>
        <v/>
      </c>
      <c r="H31">
        <f>Assumptions!$B$115*Assumptions!$B$116*B31</f>
        <v/>
      </c>
      <c r="I31">
        <f>(Assumptions!$B$124+Assumptions!$B$36)*B31</f>
        <v/>
      </c>
      <c r="J31">
        <f>MAX(Assumptions!$B$123*B31*D31*Assumptions!$B$16,Assumptions!$B$39*B31)</f>
        <v/>
      </c>
      <c r="K31">
        <f>Assumptions!$B$40*B31</f>
        <v/>
      </c>
      <c r="L31">
        <f>Assumptions!$B$41*B31</f>
        <v/>
      </c>
      <c r="M31">
        <f>Assumptions!$B$42</f>
        <v/>
      </c>
      <c r="N31">
        <f>F31*Assumptions!$B$44*Assumptions!$B$45+Assumptions!$B$46</f>
        <v/>
      </c>
      <c r="O31">
        <f>IF(A31&lt;=12,MAX(Assumptions!$B$47*F31,Assumptions!$B$48*B31),MAX(Assumptions!$B$49*F31,Assumptions!$B$50*B31))</f>
        <v/>
      </c>
      <c r="P31">
        <f>(Assumptions!$B$51+IF(Assumptions!$B$118=1,Assumptions!$B$52,0))*B31</f>
        <v/>
      </c>
      <c r="Q31">
        <f>MAX(Assumptions!$B$53*F31,Assumptions!$B$54*B31)</f>
        <v/>
      </c>
      <c r="R31">
        <f>IF(AND(Assumptions!$B$120&gt;0,A31&gt;=2),MAX(Assumptions!$B$120*F31,Assumptions!$B$121),0)</f>
        <v/>
      </c>
      <c r="S31">
        <f>J31+K31+L31+M31+N31+O31+P31+R31+Q31*Assumptions!$B$55+IF(Assumptions!$B$118=1,G31,0)+IF(Assumptions!$B$119=1,H31,0)</f>
        <v/>
      </c>
      <c r="T31">
        <f>MAX(Assumptions!$B$58*F31-Assumptions!$B$59*S31,Assumptions!$B$60*F31)</f>
        <v/>
      </c>
      <c r="U31">
        <f>Assumptions!$B$56+IF(A31&gt;=13,Assumptions!$B$57/12,0)</f>
        <v/>
      </c>
      <c r="V31">
        <f>SUM(G31:R31)+T31+U31</f>
        <v/>
      </c>
      <c r="W31">
        <f>F31-V31</f>
        <v/>
      </c>
      <c r="X31">
        <f>(CAPEX!$B$32+Assumptions!$B$122)/Assumptions!$B$68</f>
        <v/>
      </c>
      <c r="Y31">
        <f>W31-X31</f>
        <v/>
      </c>
      <c r="Z31">
        <f>W31</f>
        <v/>
      </c>
      <c r="AA31">
        <f>AA30+Z31</f>
        <v/>
      </c>
      <c r="AB31">
        <f>1/(1+((1+Assumptions!$B$6)^(1/12)-1))^A31</f>
        <v/>
      </c>
      <c r="AC31">
        <f>AC30+Z31*AB31</f>
        <v/>
      </c>
    </row>
    <row r="32">
      <c r="A32" t="n">
        <v>30</v>
      </c>
      <c r="B32">
        <f>(1+Assumptions!$B$4)^INT((A32-1)/12)</f>
        <v/>
      </c>
      <c r="C32">
        <f>MIN(0.95,0.983636*Assumptions!$B$114)</f>
        <v/>
      </c>
      <c r="D32">
        <f>C32*Assumptions!$B$125</f>
        <v/>
      </c>
      <c r="E32">
        <f>Assumptions!$B$112*Assumptions!$B$113*B32</f>
        <v/>
      </c>
      <c r="F32">
        <f>D32*E32*Assumptions!$B$16</f>
        <v/>
      </c>
      <c r="G32">
        <f>MAX(Assumptions!$B$117*F32,Assumptions!$B$111*Assumptions!$B$32*B32)</f>
        <v/>
      </c>
      <c r="H32">
        <f>Assumptions!$B$115*Assumptions!$B$116*B32</f>
        <v/>
      </c>
      <c r="I32">
        <f>(Assumptions!$B$124+Assumptions!$B$36)*B32</f>
        <v/>
      </c>
      <c r="J32">
        <f>MAX(Assumptions!$B$123*B32*D32*Assumptions!$B$16,Assumptions!$B$39*B32)</f>
        <v/>
      </c>
      <c r="K32">
        <f>Assumptions!$B$40*B32</f>
        <v/>
      </c>
      <c r="L32">
        <f>Assumptions!$B$41*B32</f>
        <v/>
      </c>
      <c r="M32">
        <f>Assumptions!$B$42</f>
        <v/>
      </c>
      <c r="N32">
        <f>F32*Assumptions!$B$44*Assumptions!$B$45+Assumptions!$B$46</f>
        <v/>
      </c>
      <c r="O32">
        <f>IF(A32&lt;=12,MAX(Assumptions!$B$47*F32,Assumptions!$B$48*B32),MAX(Assumptions!$B$49*F32,Assumptions!$B$50*B32))</f>
        <v/>
      </c>
      <c r="P32">
        <f>(Assumptions!$B$51+IF(Assumptions!$B$118=1,Assumptions!$B$52,0))*B32</f>
        <v/>
      </c>
      <c r="Q32">
        <f>MAX(Assumptions!$B$53*F32,Assumptions!$B$54*B32)</f>
        <v/>
      </c>
      <c r="R32">
        <f>IF(AND(Assumptions!$B$120&gt;0,A32&gt;=2),MAX(Assumptions!$B$120*F32,Assumptions!$B$121),0)</f>
        <v/>
      </c>
      <c r="S32">
        <f>J32+K32+L32+M32+N32+O32+P32+R32+Q32*Assumptions!$B$55+IF(Assumptions!$B$118=1,G32,0)+IF(Assumptions!$B$119=1,H32,0)</f>
        <v/>
      </c>
      <c r="T32">
        <f>MAX(Assumptions!$B$58*F32-Assumptions!$B$59*S32,Assumptions!$B$60*F32)</f>
        <v/>
      </c>
      <c r="U32">
        <f>Assumptions!$B$56+IF(A32&gt;=13,Assumptions!$B$57/12,0)</f>
        <v/>
      </c>
      <c r="V32">
        <f>SUM(G32:R32)+T32+U32</f>
        <v/>
      </c>
      <c r="W32">
        <f>F32-V32</f>
        <v/>
      </c>
      <c r="X32">
        <f>(CAPEX!$B$32+Assumptions!$B$122)/Assumptions!$B$68</f>
        <v/>
      </c>
      <c r="Y32">
        <f>W32-X32</f>
        <v/>
      </c>
      <c r="Z32">
        <f>W32</f>
        <v/>
      </c>
      <c r="AA32">
        <f>AA31+Z32</f>
        <v/>
      </c>
      <c r="AB32">
        <f>1/(1+((1+Assumptions!$B$6)^(1/12)-1))^A32</f>
        <v/>
      </c>
      <c r="AC32">
        <f>AC31+Z32*AB32</f>
        <v/>
      </c>
    </row>
    <row r="33">
      <c r="A33" t="n">
        <v>31</v>
      </c>
      <c r="B33">
        <f>(1+Assumptions!$B$4)^INT((A33-1)/12)</f>
        <v/>
      </c>
      <c r="C33">
        <f>MIN(0.95,0.986364*Assumptions!$B$114)</f>
        <v/>
      </c>
      <c r="D33">
        <f>C33*Assumptions!$B$125</f>
        <v/>
      </c>
      <c r="E33">
        <f>Assumptions!$B$112*Assumptions!$B$113*B33</f>
        <v/>
      </c>
      <c r="F33">
        <f>D33*E33*Assumptions!$B$16</f>
        <v/>
      </c>
      <c r="G33">
        <f>MAX(Assumptions!$B$117*F33,Assumptions!$B$111*Assumptions!$B$32*B33)</f>
        <v/>
      </c>
      <c r="H33">
        <f>Assumptions!$B$115*Assumptions!$B$116*B33</f>
        <v/>
      </c>
      <c r="I33">
        <f>(Assumptions!$B$124+Assumptions!$B$36)*B33</f>
        <v/>
      </c>
      <c r="J33">
        <f>MAX(Assumptions!$B$123*B33*D33*Assumptions!$B$16,Assumptions!$B$39*B33)</f>
        <v/>
      </c>
      <c r="K33">
        <f>Assumptions!$B$40*B33</f>
        <v/>
      </c>
      <c r="L33">
        <f>Assumptions!$B$41*B33</f>
        <v/>
      </c>
      <c r="M33">
        <f>Assumptions!$B$42</f>
        <v/>
      </c>
      <c r="N33">
        <f>F33*Assumptions!$B$44*Assumptions!$B$45+Assumptions!$B$46</f>
        <v/>
      </c>
      <c r="O33">
        <f>IF(A33&lt;=12,MAX(Assumptions!$B$47*F33,Assumptions!$B$48*B33),MAX(Assumptions!$B$49*F33,Assumptions!$B$50*B33))</f>
        <v/>
      </c>
      <c r="P33">
        <f>(Assumptions!$B$51+IF(Assumptions!$B$118=1,Assumptions!$B$52,0))*B33</f>
        <v/>
      </c>
      <c r="Q33">
        <f>MAX(Assumptions!$B$53*F33,Assumptions!$B$54*B33)</f>
        <v/>
      </c>
      <c r="R33">
        <f>IF(AND(Assumptions!$B$120&gt;0,A33&gt;=2),MAX(Assumptions!$B$120*F33,Assumptions!$B$121),0)</f>
        <v/>
      </c>
      <c r="S33">
        <f>J33+K33+L33+M33+N33+O33+P33+R33+Q33*Assumptions!$B$55+IF(Assumptions!$B$118=1,G33,0)+IF(Assumptions!$B$119=1,H33,0)</f>
        <v/>
      </c>
      <c r="T33">
        <f>MAX(Assumptions!$B$58*F33-Assumptions!$B$59*S33,Assumptions!$B$60*F33)</f>
        <v/>
      </c>
      <c r="U33">
        <f>Assumptions!$B$56+IF(A33&gt;=13,Assumptions!$B$57/12,0)</f>
        <v/>
      </c>
      <c r="V33">
        <f>SUM(G33:R33)+T33+U33</f>
        <v/>
      </c>
      <c r="W33">
        <f>F33-V33</f>
        <v/>
      </c>
      <c r="X33">
        <f>(CAPEX!$B$32+Assumptions!$B$122)/Assumptions!$B$68</f>
        <v/>
      </c>
      <c r="Y33">
        <f>W33-X33</f>
        <v/>
      </c>
      <c r="Z33">
        <f>W33</f>
        <v/>
      </c>
      <c r="AA33">
        <f>AA32+Z33</f>
        <v/>
      </c>
      <c r="AB33">
        <f>1/(1+((1+Assumptions!$B$6)^(1/12)-1))^A33</f>
        <v/>
      </c>
      <c r="AC33">
        <f>AC32+Z33*AB33</f>
        <v/>
      </c>
    </row>
    <row r="34">
      <c r="A34" t="n">
        <v>32</v>
      </c>
      <c r="B34">
        <f>(1+Assumptions!$B$4)^INT((A34-1)/12)</f>
        <v/>
      </c>
      <c r="C34">
        <f>MIN(0.95,0.989091*Assumptions!$B$114)</f>
        <v/>
      </c>
      <c r="D34">
        <f>C34*Assumptions!$B$125</f>
        <v/>
      </c>
      <c r="E34">
        <f>Assumptions!$B$112*Assumptions!$B$113*B34</f>
        <v/>
      </c>
      <c r="F34">
        <f>D34*E34*Assumptions!$B$16</f>
        <v/>
      </c>
      <c r="G34">
        <f>MAX(Assumptions!$B$117*F34,Assumptions!$B$111*Assumptions!$B$32*B34)</f>
        <v/>
      </c>
      <c r="H34">
        <f>Assumptions!$B$115*Assumptions!$B$116*B34</f>
        <v/>
      </c>
      <c r="I34">
        <f>(Assumptions!$B$124+Assumptions!$B$36)*B34</f>
        <v/>
      </c>
      <c r="J34">
        <f>MAX(Assumptions!$B$123*B34*D34*Assumptions!$B$16,Assumptions!$B$39*B34)</f>
        <v/>
      </c>
      <c r="K34">
        <f>Assumptions!$B$40*B34</f>
        <v/>
      </c>
      <c r="L34">
        <f>Assumptions!$B$41*B34</f>
        <v/>
      </c>
      <c r="M34">
        <f>Assumptions!$B$42</f>
        <v/>
      </c>
      <c r="N34">
        <f>F34*Assumptions!$B$44*Assumptions!$B$45+Assumptions!$B$46</f>
        <v/>
      </c>
      <c r="O34">
        <f>IF(A34&lt;=12,MAX(Assumptions!$B$47*F34,Assumptions!$B$48*B34),MAX(Assumptions!$B$49*F34,Assumptions!$B$50*B34))</f>
        <v/>
      </c>
      <c r="P34">
        <f>(Assumptions!$B$51+IF(Assumptions!$B$118=1,Assumptions!$B$52,0))*B34</f>
        <v/>
      </c>
      <c r="Q34">
        <f>MAX(Assumptions!$B$53*F34,Assumptions!$B$54*B34)</f>
        <v/>
      </c>
      <c r="R34">
        <f>IF(AND(Assumptions!$B$120&gt;0,A34&gt;=2),MAX(Assumptions!$B$120*F34,Assumptions!$B$121),0)</f>
        <v/>
      </c>
      <c r="S34">
        <f>J34+K34+L34+M34+N34+O34+P34+R34+Q34*Assumptions!$B$55+IF(Assumptions!$B$118=1,G34,0)+IF(Assumptions!$B$119=1,H34,0)</f>
        <v/>
      </c>
      <c r="T34">
        <f>MAX(Assumptions!$B$58*F34-Assumptions!$B$59*S34,Assumptions!$B$60*F34)</f>
        <v/>
      </c>
      <c r="U34">
        <f>Assumptions!$B$56+IF(A34&gt;=13,Assumptions!$B$57/12,0)</f>
        <v/>
      </c>
      <c r="V34">
        <f>SUM(G34:R34)+T34+U34</f>
        <v/>
      </c>
      <c r="W34">
        <f>F34-V34</f>
        <v/>
      </c>
      <c r="X34">
        <f>(CAPEX!$B$32+Assumptions!$B$122)/Assumptions!$B$68</f>
        <v/>
      </c>
      <c r="Y34">
        <f>W34-X34</f>
        <v/>
      </c>
      <c r="Z34">
        <f>W34</f>
        <v/>
      </c>
      <c r="AA34">
        <f>AA33+Z34</f>
        <v/>
      </c>
      <c r="AB34">
        <f>1/(1+((1+Assumptions!$B$6)^(1/12)-1))^A34</f>
        <v/>
      </c>
      <c r="AC34">
        <f>AC33+Z34*AB34</f>
        <v/>
      </c>
    </row>
    <row r="35">
      <c r="A35" t="n">
        <v>33</v>
      </c>
      <c r="B35">
        <f>(1+Assumptions!$B$4)^INT((A35-1)/12)</f>
        <v/>
      </c>
      <c r="C35">
        <f>MIN(0.95,0.991818*Assumptions!$B$114)</f>
        <v/>
      </c>
      <c r="D35">
        <f>C35*Assumptions!$B$125</f>
        <v/>
      </c>
      <c r="E35">
        <f>Assumptions!$B$112*Assumptions!$B$113*B35</f>
        <v/>
      </c>
      <c r="F35">
        <f>D35*E35*Assumptions!$B$16</f>
        <v/>
      </c>
      <c r="G35">
        <f>MAX(Assumptions!$B$117*F35,Assumptions!$B$111*Assumptions!$B$32*B35)</f>
        <v/>
      </c>
      <c r="H35">
        <f>Assumptions!$B$115*Assumptions!$B$116*B35</f>
        <v/>
      </c>
      <c r="I35">
        <f>(Assumptions!$B$124+Assumptions!$B$36)*B35</f>
        <v/>
      </c>
      <c r="J35">
        <f>MAX(Assumptions!$B$123*B35*D35*Assumptions!$B$16,Assumptions!$B$39*B35)</f>
        <v/>
      </c>
      <c r="K35">
        <f>Assumptions!$B$40*B35</f>
        <v/>
      </c>
      <c r="L35">
        <f>Assumptions!$B$41*B35</f>
        <v/>
      </c>
      <c r="M35">
        <f>Assumptions!$B$42</f>
        <v/>
      </c>
      <c r="N35">
        <f>F35*Assumptions!$B$44*Assumptions!$B$45+Assumptions!$B$46</f>
        <v/>
      </c>
      <c r="O35">
        <f>IF(A35&lt;=12,MAX(Assumptions!$B$47*F35,Assumptions!$B$48*B35),MAX(Assumptions!$B$49*F35,Assumptions!$B$50*B35))</f>
        <v/>
      </c>
      <c r="P35">
        <f>(Assumptions!$B$51+IF(Assumptions!$B$118=1,Assumptions!$B$52,0))*B35</f>
        <v/>
      </c>
      <c r="Q35">
        <f>MAX(Assumptions!$B$53*F35,Assumptions!$B$54*B35)</f>
        <v/>
      </c>
      <c r="R35">
        <f>IF(AND(Assumptions!$B$120&gt;0,A35&gt;=2),MAX(Assumptions!$B$120*F35,Assumptions!$B$121),0)</f>
        <v/>
      </c>
      <c r="S35">
        <f>J35+K35+L35+M35+N35+O35+P35+R35+Q35*Assumptions!$B$55+IF(Assumptions!$B$118=1,G35,0)+IF(Assumptions!$B$119=1,H35,0)</f>
        <v/>
      </c>
      <c r="T35">
        <f>MAX(Assumptions!$B$58*F35-Assumptions!$B$59*S35,Assumptions!$B$60*F35)</f>
        <v/>
      </c>
      <c r="U35">
        <f>Assumptions!$B$56+IF(A35&gt;=13,Assumptions!$B$57/12,0)</f>
        <v/>
      </c>
      <c r="V35">
        <f>SUM(G35:R35)+T35+U35</f>
        <v/>
      </c>
      <c r="W35">
        <f>F35-V35</f>
        <v/>
      </c>
      <c r="X35">
        <f>(CAPEX!$B$32+Assumptions!$B$122)/Assumptions!$B$68</f>
        <v/>
      </c>
      <c r="Y35">
        <f>W35-X35</f>
        <v/>
      </c>
      <c r="Z35">
        <f>W35</f>
        <v/>
      </c>
      <c r="AA35">
        <f>AA34+Z35</f>
        <v/>
      </c>
      <c r="AB35">
        <f>1/(1+((1+Assumptions!$B$6)^(1/12)-1))^A35</f>
        <v/>
      </c>
      <c r="AC35">
        <f>AC34+Z35*AB35</f>
        <v/>
      </c>
    </row>
    <row r="36">
      <c r="A36" t="n">
        <v>34</v>
      </c>
      <c r="B36">
        <f>(1+Assumptions!$B$4)^INT((A36-1)/12)</f>
        <v/>
      </c>
      <c r="C36">
        <f>MIN(0.95,0.994545*Assumptions!$B$114)</f>
        <v/>
      </c>
      <c r="D36">
        <f>C36*Assumptions!$B$125</f>
        <v/>
      </c>
      <c r="E36">
        <f>Assumptions!$B$112*Assumptions!$B$113*B36</f>
        <v/>
      </c>
      <c r="F36">
        <f>D36*E36*Assumptions!$B$16</f>
        <v/>
      </c>
      <c r="G36">
        <f>MAX(Assumptions!$B$117*F36,Assumptions!$B$111*Assumptions!$B$32*B36)</f>
        <v/>
      </c>
      <c r="H36">
        <f>Assumptions!$B$115*Assumptions!$B$116*B36</f>
        <v/>
      </c>
      <c r="I36">
        <f>(Assumptions!$B$124+Assumptions!$B$36)*B36</f>
        <v/>
      </c>
      <c r="J36">
        <f>MAX(Assumptions!$B$123*B36*D36*Assumptions!$B$16,Assumptions!$B$39*B36)</f>
        <v/>
      </c>
      <c r="K36">
        <f>Assumptions!$B$40*B36</f>
        <v/>
      </c>
      <c r="L36">
        <f>Assumptions!$B$41*B36</f>
        <v/>
      </c>
      <c r="M36">
        <f>Assumptions!$B$42</f>
        <v/>
      </c>
      <c r="N36">
        <f>F36*Assumptions!$B$44*Assumptions!$B$45+Assumptions!$B$46</f>
        <v/>
      </c>
      <c r="O36">
        <f>IF(A36&lt;=12,MAX(Assumptions!$B$47*F36,Assumptions!$B$48*B36),MAX(Assumptions!$B$49*F36,Assumptions!$B$50*B36))</f>
        <v/>
      </c>
      <c r="P36">
        <f>(Assumptions!$B$51+IF(Assumptions!$B$118=1,Assumptions!$B$52,0))*B36</f>
        <v/>
      </c>
      <c r="Q36">
        <f>MAX(Assumptions!$B$53*F36,Assumptions!$B$54*B36)</f>
        <v/>
      </c>
      <c r="R36">
        <f>IF(AND(Assumptions!$B$120&gt;0,A36&gt;=2),MAX(Assumptions!$B$120*F36,Assumptions!$B$121),0)</f>
        <v/>
      </c>
      <c r="S36">
        <f>J36+K36+L36+M36+N36+O36+P36+R36+Q36*Assumptions!$B$55+IF(Assumptions!$B$118=1,G36,0)+IF(Assumptions!$B$119=1,H36,0)</f>
        <v/>
      </c>
      <c r="T36">
        <f>MAX(Assumptions!$B$58*F36-Assumptions!$B$59*S36,Assumptions!$B$60*F36)</f>
        <v/>
      </c>
      <c r="U36">
        <f>Assumptions!$B$56+IF(A36&gt;=13,Assumptions!$B$57/12,0)</f>
        <v/>
      </c>
      <c r="V36">
        <f>SUM(G36:R36)+T36+U36</f>
        <v/>
      </c>
      <c r="W36">
        <f>F36-V36</f>
        <v/>
      </c>
      <c r="X36">
        <f>(CAPEX!$B$32+Assumptions!$B$122)/Assumptions!$B$68</f>
        <v/>
      </c>
      <c r="Y36">
        <f>W36-X36</f>
        <v/>
      </c>
      <c r="Z36">
        <f>W36</f>
        <v/>
      </c>
      <c r="AA36">
        <f>AA35+Z36</f>
        <v/>
      </c>
      <c r="AB36">
        <f>1/(1+((1+Assumptions!$B$6)^(1/12)-1))^A36</f>
        <v/>
      </c>
      <c r="AC36">
        <f>AC35+Z36*AB36</f>
        <v/>
      </c>
    </row>
    <row r="37">
      <c r="A37" t="n">
        <v>35</v>
      </c>
      <c r="B37">
        <f>(1+Assumptions!$B$4)^INT((A37-1)/12)</f>
        <v/>
      </c>
      <c r="C37">
        <f>MIN(0.95,0.997273*Assumptions!$B$114)</f>
        <v/>
      </c>
      <c r="D37">
        <f>C37*Assumptions!$B$125</f>
        <v/>
      </c>
      <c r="E37">
        <f>Assumptions!$B$112*Assumptions!$B$113*B37</f>
        <v/>
      </c>
      <c r="F37">
        <f>D37*E37*Assumptions!$B$16</f>
        <v/>
      </c>
      <c r="G37">
        <f>MAX(Assumptions!$B$117*F37,Assumptions!$B$111*Assumptions!$B$32*B37)</f>
        <v/>
      </c>
      <c r="H37">
        <f>Assumptions!$B$115*Assumptions!$B$116*B37</f>
        <v/>
      </c>
      <c r="I37">
        <f>(Assumptions!$B$124+Assumptions!$B$36)*B37</f>
        <v/>
      </c>
      <c r="J37">
        <f>MAX(Assumptions!$B$123*B37*D37*Assumptions!$B$16,Assumptions!$B$39*B37)</f>
        <v/>
      </c>
      <c r="K37">
        <f>Assumptions!$B$40*B37</f>
        <v/>
      </c>
      <c r="L37">
        <f>Assumptions!$B$41*B37</f>
        <v/>
      </c>
      <c r="M37">
        <f>Assumptions!$B$42</f>
        <v/>
      </c>
      <c r="N37">
        <f>F37*Assumptions!$B$44*Assumptions!$B$45+Assumptions!$B$46</f>
        <v/>
      </c>
      <c r="O37">
        <f>IF(A37&lt;=12,MAX(Assumptions!$B$47*F37,Assumptions!$B$48*B37),MAX(Assumptions!$B$49*F37,Assumptions!$B$50*B37))</f>
        <v/>
      </c>
      <c r="P37">
        <f>(Assumptions!$B$51+IF(Assumptions!$B$118=1,Assumptions!$B$52,0))*B37</f>
        <v/>
      </c>
      <c r="Q37">
        <f>MAX(Assumptions!$B$53*F37,Assumptions!$B$54*B37)</f>
        <v/>
      </c>
      <c r="R37">
        <f>IF(AND(Assumptions!$B$120&gt;0,A37&gt;=2),MAX(Assumptions!$B$120*F37,Assumptions!$B$121),0)</f>
        <v/>
      </c>
      <c r="S37">
        <f>J37+K37+L37+M37+N37+O37+P37+R37+Q37*Assumptions!$B$55+IF(Assumptions!$B$118=1,G37,0)+IF(Assumptions!$B$119=1,H37,0)</f>
        <v/>
      </c>
      <c r="T37">
        <f>MAX(Assumptions!$B$58*F37-Assumptions!$B$59*S37,Assumptions!$B$60*F37)</f>
        <v/>
      </c>
      <c r="U37">
        <f>Assumptions!$B$56+IF(A37&gt;=13,Assumptions!$B$57/12,0)</f>
        <v/>
      </c>
      <c r="V37">
        <f>SUM(G37:R37)+T37+U37</f>
        <v/>
      </c>
      <c r="W37">
        <f>F37-V37</f>
        <v/>
      </c>
      <c r="X37">
        <f>(CAPEX!$B$32+Assumptions!$B$122)/Assumptions!$B$68</f>
        <v/>
      </c>
      <c r="Y37">
        <f>W37-X37</f>
        <v/>
      </c>
      <c r="Z37">
        <f>W37</f>
        <v/>
      </c>
      <c r="AA37">
        <f>AA36+Z37</f>
        <v/>
      </c>
      <c r="AB37">
        <f>1/(1+((1+Assumptions!$B$6)^(1/12)-1))^A37</f>
        <v/>
      </c>
      <c r="AC37">
        <f>AC36+Z37*AB37</f>
        <v/>
      </c>
    </row>
    <row r="38">
      <c r="A38" t="n">
        <v>36</v>
      </c>
      <c r="B38">
        <f>(1+Assumptions!$B$4)^INT((A38-1)/12)</f>
        <v/>
      </c>
      <c r="C38">
        <f>MIN(0.95,1.0*Assumptions!$B$114)</f>
        <v/>
      </c>
      <c r="D38">
        <f>C38*Assumptions!$B$125</f>
        <v/>
      </c>
      <c r="E38">
        <f>Assumptions!$B$112*Assumptions!$B$113*B38</f>
        <v/>
      </c>
      <c r="F38">
        <f>D38*E38*Assumptions!$B$16</f>
        <v/>
      </c>
      <c r="G38">
        <f>MAX(Assumptions!$B$117*F38,Assumptions!$B$111*Assumptions!$B$32*B38)</f>
        <v/>
      </c>
      <c r="H38">
        <f>Assumptions!$B$115*Assumptions!$B$116*B38</f>
        <v/>
      </c>
      <c r="I38">
        <f>(Assumptions!$B$124+Assumptions!$B$36)*B38</f>
        <v/>
      </c>
      <c r="J38">
        <f>MAX(Assumptions!$B$123*B38*D38*Assumptions!$B$16,Assumptions!$B$39*B38)</f>
        <v/>
      </c>
      <c r="K38">
        <f>Assumptions!$B$40*B38</f>
        <v/>
      </c>
      <c r="L38">
        <f>Assumptions!$B$41*B38</f>
        <v/>
      </c>
      <c r="M38">
        <f>Assumptions!$B$42</f>
        <v/>
      </c>
      <c r="N38">
        <f>F38*Assumptions!$B$44*Assumptions!$B$45+Assumptions!$B$46</f>
        <v/>
      </c>
      <c r="O38">
        <f>IF(A38&lt;=12,MAX(Assumptions!$B$47*F38,Assumptions!$B$48*B38),MAX(Assumptions!$B$49*F38,Assumptions!$B$50*B38))</f>
        <v/>
      </c>
      <c r="P38">
        <f>(Assumptions!$B$51+IF(Assumptions!$B$118=1,Assumptions!$B$52,0))*B38</f>
        <v/>
      </c>
      <c r="Q38">
        <f>MAX(Assumptions!$B$53*F38,Assumptions!$B$54*B38)</f>
        <v/>
      </c>
      <c r="R38">
        <f>IF(AND(Assumptions!$B$120&gt;0,A38&gt;=2),MAX(Assumptions!$B$120*F38,Assumptions!$B$121),0)</f>
        <v/>
      </c>
      <c r="S38">
        <f>J38+K38+L38+M38+N38+O38+P38+R38+Q38*Assumptions!$B$55+IF(Assumptions!$B$118=1,G38,0)+IF(Assumptions!$B$119=1,H38,0)</f>
        <v/>
      </c>
      <c r="T38">
        <f>MAX(Assumptions!$B$58*F38-Assumptions!$B$59*S38,Assumptions!$B$60*F38)</f>
        <v/>
      </c>
      <c r="U38">
        <f>Assumptions!$B$56+IF(A38&gt;=13,Assumptions!$B$57/12,0)</f>
        <v/>
      </c>
      <c r="V38">
        <f>SUM(G38:R38)+T38+U38</f>
        <v/>
      </c>
      <c r="W38">
        <f>F38-V38</f>
        <v/>
      </c>
      <c r="X38">
        <f>(CAPEX!$B$32+Assumptions!$B$122)/Assumptions!$B$68</f>
        <v/>
      </c>
      <c r="Y38">
        <f>W38-X38</f>
        <v/>
      </c>
      <c r="Z38">
        <f>W38</f>
        <v/>
      </c>
      <c r="AA38">
        <f>AA37+Z38</f>
        <v/>
      </c>
      <c r="AB38">
        <f>1/(1+((1+Assumptions!$B$6)^(1/12)-1))^A38</f>
        <v/>
      </c>
      <c r="AC38">
        <f>AC37+Z38*AB38</f>
        <v/>
      </c>
    </row>
    <row r="39">
      <c r="A39" s="3" t="inlineStr">
        <is>
          <t>Год 1</t>
        </is>
      </c>
      <c r="F39">
        <f>SUM(F3:F14)</f>
        <v/>
      </c>
      <c r="G39">
        <f>SUM(G3:G14)</f>
        <v/>
      </c>
      <c r="H39">
        <f>SUM(H3:H14)</f>
        <v/>
      </c>
      <c r="I39">
        <f>SUM(I3:I14)</f>
        <v/>
      </c>
      <c r="J39">
        <f>SUM(J3:J14)</f>
        <v/>
      </c>
      <c r="K39">
        <f>SUM(K3:K14)</f>
        <v/>
      </c>
      <c r="L39">
        <f>SUM(L3:L14)</f>
        <v/>
      </c>
      <c r="M39">
        <f>SUM(M3:M14)</f>
        <v/>
      </c>
      <c r="N39">
        <f>SUM(N3:N14)</f>
        <v/>
      </c>
      <c r="O39">
        <f>SUM(O3:O14)</f>
        <v/>
      </c>
      <c r="P39">
        <f>SUM(P3:P14)</f>
        <v/>
      </c>
      <c r="Q39">
        <f>SUM(Q3:Q14)</f>
        <v/>
      </c>
      <c r="R39">
        <f>SUM(R3:R14)</f>
        <v/>
      </c>
      <c r="S39">
        <f>SUM(S3:S14)</f>
        <v/>
      </c>
      <c r="T39">
        <f>SUM(T3:T14)</f>
        <v/>
      </c>
      <c r="U39">
        <f>SUM(U3:U14)</f>
        <v/>
      </c>
      <c r="V39">
        <f>SUM(V3:V14)</f>
        <v/>
      </c>
      <c r="W39">
        <f>SUM(W3:W14)</f>
        <v/>
      </c>
      <c r="X39">
        <f>SUM(X3:X14)</f>
        <v/>
      </c>
      <c r="Y39">
        <f>SUM(Y3:Y14)</f>
        <v/>
      </c>
    </row>
    <row r="40">
      <c r="A40" s="3" t="inlineStr">
        <is>
          <t>Год 2</t>
        </is>
      </c>
      <c r="F40">
        <f>SUM(F15:F26)</f>
        <v/>
      </c>
      <c r="G40">
        <f>SUM(G15:G26)</f>
        <v/>
      </c>
      <c r="H40">
        <f>SUM(H15:H26)</f>
        <v/>
      </c>
      <c r="I40">
        <f>SUM(I15:I26)</f>
        <v/>
      </c>
      <c r="J40">
        <f>SUM(J15:J26)</f>
        <v/>
      </c>
      <c r="K40">
        <f>SUM(K15:K26)</f>
        <v/>
      </c>
      <c r="L40">
        <f>SUM(L15:L26)</f>
        <v/>
      </c>
      <c r="M40">
        <f>SUM(M15:M26)</f>
        <v/>
      </c>
      <c r="N40">
        <f>SUM(N15:N26)</f>
        <v/>
      </c>
      <c r="O40">
        <f>SUM(O15:O26)</f>
        <v/>
      </c>
      <c r="P40">
        <f>SUM(P15:P26)</f>
        <v/>
      </c>
      <c r="Q40">
        <f>SUM(Q15:Q26)</f>
        <v/>
      </c>
      <c r="R40">
        <f>SUM(R15:R26)</f>
        <v/>
      </c>
      <c r="S40">
        <f>SUM(S15:S26)</f>
        <v/>
      </c>
      <c r="T40">
        <f>SUM(T15:T26)</f>
        <v/>
      </c>
      <c r="U40">
        <f>SUM(U15:U26)</f>
        <v/>
      </c>
      <c r="V40">
        <f>SUM(V15:V26)</f>
        <v/>
      </c>
      <c r="W40">
        <f>SUM(W15:W26)</f>
        <v/>
      </c>
      <c r="X40">
        <f>SUM(X15:X26)</f>
        <v/>
      </c>
      <c r="Y40">
        <f>SUM(Y15:Y26)</f>
        <v/>
      </c>
    </row>
    <row r="41">
      <c r="A41" s="3" t="inlineStr">
        <is>
          <t>Год 3</t>
        </is>
      </c>
      <c r="F41">
        <f>SUM(F27:F38)</f>
        <v/>
      </c>
      <c r="G41">
        <f>SUM(G27:G38)</f>
        <v/>
      </c>
      <c r="H41">
        <f>SUM(H27:H38)</f>
        <v/>
      </c>
      <c r="I41">
        <f>SUM(I27:I38)</f>
        <v/>
      </c>
      <c r="J41">
        <f>SUM(J27:J38)</f>
        <v/>
      </c>
      <c r="K41">
        <f>SUM(K27:K38)</f>
        <v/>
      </c>
      <c r="L41">
        <f>SUM(L27:L38)</f>
        <v/>
      </c>
      <c r="M41">
        <f>SUM(M27:M38)</f>
        <v/>
      </c>
      <c r="N41">
        <f>SUM(N27:N38)</f>
        <v/>
      </c>
      <c r="O41">
        <f>SUM(O27:O38)</f>
        <v/>
      </c>
      <c r="P41">
        <f>SUM(P27:P38)</f>
        <v/>
      </c>
      <c r="Q41">
        <f>SUM(Q27:Q38)</f>
        <v/>
      </c>
      <c r="R41">
        <f>SUM(R27:R38)</f>
        <v/>
      </c>
      <c r="S41">
        <f>SUM(S27:S38)</f>
        <v/>
      </c>
      <c r="T41">
        <f>SUM(T27:T38)</f>
        <v/>
      </c>
      <c r="U41">
        <f>SUM(U27:U38)</f>
        <v/>
      </c>
      <c r="V41">
        <f>SUM(V27:V38)</f>
        <v/>
      </c>
      <c r="W41">
        <f>SUM(W27:W38)</f>
        <v/>
      </c>
      <c r="X41">
        <f>SUM(X27:X38)</f>
        <v/>
      </c>
      <c r="Y41">
        <f>SUM(Y27:Y38)</f>
        <v/>
      </c>
    </row>
    <row r="43">
      <c r="A43" s="3" t="inlineStr">
        <is>
          <t>NPV @discount_rate, 36 мес.</t>
        </is>
      </c>
      <c r="F43">
        <f>Z2+SUMPRODUCT(Z3:Z38,AB3:AB38)</f>
        <v/>
      </c>
    </row>
    <row r="44">
      <c r="A44" s="3" t="inlineStr">
        <is>
          <t>IRR годовая</t>
        </is>
      </c>
      <c r="F44">
        <f>(1+IRR(Z2:Z38))^12-1</f>
        <v/>
      </c>
    </row>
    <row r="45">
      <c r="A45" s="3" t="inlineStr">
        <is>
          <t>Окупаемость простая, мес.</t>
        </is>
      </c>
      <c r="F45">
        <f>IFERROR(INDEX(A3:A38,MATCH(TRUE,INDEX(AA3:AA38&gt;=0,0),0)),"нет за 36 мес.")</f>
        <v/>
      </c>
    </row>
    <row r="46">
      <c r="A46" s="3" t="inlineStr">
        <is>
          <t>Окупаемость дисконтированная, мес.</t>
        </is>
      </c>
      <c r="F46">
        <f>IFERROR(INDEX(A3:A38,MATCH(TRUE,INDEX(AC3:AC38&gt;=0,0),0)),"нет за 36 мес.")</f>
        <v/>
      </c>
    </row>
    <row r="47">
      <c r="A47" s="3" t="inlineStr">
        <is>
          <t>Проверка: Σ(выручка − расходы − EBITDA) = 0</t>
        </is>
      </c>
      <c r="F47">
        <f>SUM(F3:F38)-SUM(V3:V38)-SUM(W3:W38)</f>
        <v/>
      </c>
    </row>
    <row r="48">
      <c r="A48" s="3" t="inlineStr">
        <is>
          <t>Проверка: мин(налог − 4,5% выручки) ≥ 0</t>
        </is>
      </c>
      <c r="F48">
        <f>MIN(INDEX(T3:T38-0.045*F3:F38,0))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Показатель</t>
        </is>
      </c>
      <c r="B1" s="1" t="inlineStr">
        <is>
          <t>Пессимистичный</t>
        </is>
      </c>
      <c r="C1" s="1" t="inlineStr">
        <is>
          <t>Базовый</t>
        </is>
      </c>
      <c r="D1" s="1" t="inlineStr">
        <is>
          <t>Оптимистичный</t>
        </is>
      </c>
    </row>
    <row r="2">
      <c r="A2" t="inlineStr">
        <is>
          <t>Параметры: цена ×, зрелая загрузка, аренда AMD/м², схема мастеров</t>
        </is>
      </c>
      <c r="B2" t="inlineStr">
        <is>
          <t>0,9 / 30% / 8 000 / сотрудники (a)</t>
        </is>
      </c>
      <c r="C2" t="inlineStr">
        <is>
          <t>1,0 / 40% / 6 500 / ИП (c)</t>
        </is>
      </c>
      <c r="D2" t="inlineStr">
        <is>
          <t>1,0 / 45% / 5 800 / ИП (c)</t>
        </is>
      </c>
    </row>
    <row r="3">
      <c r="A3" t="inlineStr">
        <is>
          <t>Выручка, год 1</t>
        </is>
      </c>
      <c r="B3" t="n">
        <v>15988633</v>
      </c>
      <c r="C3" t="n">
        <v>23686864</v>
      </c>
      <c r="D3" t="n">
        <v>26647722</v>
      </c>
    </row>
    <row r="4">
      <c r="A4" t="inlineStr">
        <is>
          <t>Выплаты мастерам, год 1</t>
        </is>
      </c>
      <c r="B4" t="n">
        <v>9773561</v>
      </c>
      <c r="C4" t="n">
        <v>12547186</v>
      </c>
      <c r="D4" t="n">
        <v>13816379</v>
      </c>
    </row>
    <row r="5">
      <c r="A5" t="inlineStr">
        <is>
          <t>Налог с оборота, год 1</t>
        </is>
      </c>
      <c r="B5" t="n">
        <v>1345231</v>
      </c>
      <c r="C5" t="n">
        <v>1366960</v>
      </c>
      <c r="D5" t="n">
        <v>1560284</v>
      </c>
    </row>
    <row r="6">
      <c r="A6" t="inlineStr">
        <is>
          <t>EBITDA, год 1</t>
        </is>
      </c>
      <c r="B6" t="n">
        <v>-4564355</v>
      </c>
      <c r="C6" t="n">
        <v>438885</v>
      </c>
      <c r="D6" t="n">
        <v>1915019</v>
      </c>
    </row>
    <row r="7">
      <c r="A7" t="inlineStr">
        <is>
          <t>Чистая прибыль, год 1</t>
        </is>
      </c>
      <c r="B7" t="n">
        <v>-6079845</v>
      </c>
      <c r="C7" t="n">
        <v>-1076605</v>
      </c>
      <c r="D7" t="n">
        <v>399529</v>
      </c>
    </row>
    <row r="8">
      <c r="A8" t="inlineStr">
        <is>
          <t>Услуг/день, среднее за год 1</t>
        </is>
      </c>
      <c r="B8" t="n">
        <v>20.8</v>
      </c>
      <c r="C8" t="n">
        <v>27.7</v>
      </c>
      <c r="D8" t="n">
        <v>31.1</v>
      </c>
    </row>
    <row r="9">
      <c r="A9" t="inlineStr">
        <is>
          <t>Выручка, год 2</t>
        </is>
      </c>
      <c r="B9" t="n">
        <v>23414842</v>
      </c>
      <c r="C9" t="n">
        <v>34688655</v>
      </c>
      <c r="D9" t="n">
        <v>39024737</v>
      </c>
    </row>
    <row r="10">
      <c r="A10" t="inlineStr">
        <is>
          <t>Выплаты мастерам, год 2</t>
        </is>
      </c>
      <c r="B10" t="n">
        <v>11707421</v>
      </c>
      <c r="C10" t="n">
        <v>17344327</v>
      </c>
      <c r="D10" t="n">
        <v>19512368</v>
      </c>
    </row>
    <row r="11">
      <c r="A11" t="inlineStr">
        <is>
          <t>Налог с оборота, год 2</t>
        </is>
      </c>
      <c r="B11" t="n">
        <v>2093224</v>
      </c>
      <c r="C11" t="n">
        <v>2136039</v>
      </c>
      <c r="D11" t="n">
        <v>2417057</v>
      </c>
    </row>
    <row r="12">
      <c r="A12" t="inlineStr">
        <is>
          <t>EBITDA, год 2</t>
        </is>
      </c>
      <c r="B12" t="n">
        <v>-133616</v>
      </c>
      <c r="C12" t="n">
        <v>5179174</v>
      </c>
      <c r="D12" t="n">
        <v>6910550</v>
      </c>
    </row>
    <row r="13">
      <c r="A13" t="inlineStr">
        <is>
          <t>Чистая прибыль, год 2</t>
        </is>
      </c>
      <c r="B13" t="n">
        <v>-1649106</v>
      </c>
      <c r="C13" t="n">
        <v>3663684</v>
      </c>
      <c r="D13" t="n">
        <v>5395060</v>
      </c>
    </row>
    <row r="14">
      <c r="A14" t="inlineStr">
        <is>
          <t>Услуг/день, среднее за год 2</t>
        </is>
      </c>
      <c r="B14" t="n">
        <v>29.1</v>
      </c>
      <c r="C14" t="n">
        <v>38.9</v>
      </c>
      <c r="D14" t="n">
        <v>43.7</v>
      </c>
    </row>
    <row r="15">
      <c r="A15" t="inlineStr">
        <is>
          <t>Выручка, год 3</t>
        </is>
      </c>
      <c r="B15" t="n">
        <v>26290006</v>
      </c>
      <c r="C15" t="n">
        <v>38948156</v>
      </c>
      <c r="D15" t="n">
        <v>43816676</v>
      </c>
    </row>
    <row r="16">
      <c r="A16" t="inlineStr">
        <is>
          <t>Выплаты мастерам, год 3</t>
        </is>
      </c>
      <c r="B16" t="n">
        <v>13145003</v>
      </c>
      <c r="C16" t="n">
        <v>19474078</v>
      </c>
      <c r="D16" t="n">
        <v>21908338</v>
      </c>
    </row>
    <row r="17">
      <c r="A17" t="inlineStr">
        <is>
          <t>Налог с оборота, год 3</t>
        </is>
      </c>
      <c r="B17" t="n">
        <v>2361741</v>
      </c>
      <c r="C17" t="n">
        <v>2407509</v>
      </c>
      <c r="D17" t="n">
        <v>2723034</v>
      </c>
    </row>
    <row r="18">
      <c r="A18" t="inlineStr">
        <is>
          <t>EBITDA, год 3</t>
        </is>
      </c>
      <c r="B18" t="n">
        <v>474757</v>
      </c>
      <c r="C18" t="n">
        <v>6358884</v>
      </c>
      <c r="D18" t="n">
        <v>8281887</v>
      </c>
    </row>
    <row r="19">
      <c r="A19" t="inlineStr">
        <is>
          <t>Чистая прибыль, год 3</t>
        </is>
      </c>
      <c r="B19" t="n">
        <v>-1040733</v>
      </c>
      <c r="C19" t="n">
        <v>4843394</v>
      </c>
      <c r="D19" t="n">
        <v>6766397</v>
      </c>
    </row>
    <row r="20">
      <c r="A20" t="inlineStr">
        <is>
          <t>Услуг/день, среднее за год 3</t>
        </is>
      </c>
      <c r="B20" t="n">
        <v>31.4</v>
      </c>
      <c r="C20" t="n">
        <v>41.8</v>
      </c>
      <c r="D20" t="n">
        <v>47.1</v>
      </c>
    </row>
    <row r="21">
      <c r="A21" t="inlineStr">
        <is>
          <t>CAPEX (без резерва)</t>
        </is>
      </c>
      <c r="B21" t="n">
        <v>9130450</v>
      </c>
      <c r="C21" t="n">
        <v>8984200</v>
      </c>
      <c r="D21" t="n">
        <v>8915950</v>
      </c>
    </row>
    <row r="22">
      <c r="A22" t="inlineStr">
        <is>
          <t>Резерв на стресс ramp-up</t>
        </is>
      </c>
      <c r="B22" t="n">
        <v>5711726</v>
      </c>
      <c r="C22" t="n">
        <v>2880170</v>
      </c>
      <c r="D22" t="n">
        <v>2612287</v>
      </c>
    </row>
    <row r="23">
      <c r="A23" t="inlineStr">
        <is>
          <t>Потребность в финансировании</t>
        </is>
      </c>
      <c r="B23" t="n">
        <v>14842176</v>
      </c>
      <c r="C23" t="n">
        <v>11864370</v>
      </c>
      <c r="D23" t="n">
        <v>11528237</v>
      </c>
    </row>
    <row r="24">
      <c r="A24" t="inlineStr">
        <is>
          <t>Окупаемость простая, мес.</t>
        </is>
      </c>
      <c r="B24" t="inlineStr">
        <is>
          <t>нет за 36</t>
        </is>
      </c>
      <c r="C24" t="n">
        <v>31</v>
      </c>
      <c r="D24" t="n">
        <v>25</v>
      </c>
    </row>
    <row r="25">
      <c r="A25" t="inlineStr">
        <is>
          <t>Окупаемость дисконтированная, мес.</t>
        </is>
      </c>
      <c r="B25" t="inlineStr">
        <is>
          <t>нет за 36</t>
        </is>
      </c>
      <c r="C25" t="inlineStr">
        <is>
          <t>нет за 36</t>
        </is>
      </c>
      <c r="D25" t="n">
        <v>29</v>
      </c>
    </row>
    <row r="26">
      <c r="A26" t="inlineStr">
        <is>
          <t>NPV 36 мес. @18%</t>
        </is>
      </c>
      <c r="B26" t="n">
        <v>-13255155</v>
      </c>
      <c r="C26" t="n">
        <v>-545180</v>
      </c>
      <c r="D26" t="n">
        <v>3481614</v>
      </c>
    </row>
    <row r="27">
      <c r="A27" t="inlineStr">
        <is>
          <t>NPV 36 мес. @18% с TV 3×EBITDA Y3</t>
        </is>
      </c>
      <c r="B27" t="n">
        <v>-12388299</v>
      </c>
      <c r="C27" t="n">
        <v>11065459</v>
      </c>
      <c r="D27" t="n">
        <v>18603450</v>
      </c>
    </row>
    <row r="28">
      <c r="A28" t="inlineStr">
        <is>
          <t>IRR годовая</t>
        </is>
      </c>
      <c r="B28" t="inlineStr">
        <is>
          <t>-74.4%</t>
        </is>
      </c>
      <c r="C28" t="inlineStr">
        <is>
          <t>14.5%</t>
        </is>
      </c>
      <c r="D28" t="inlineStr">
        <is>
          <t>40.6%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Фактор</t>
        </is>
      </c>
      <c r="B1" s="1" t="inlineStr">
        <is>
          <t>−20%</t>
        </is>
      </c>
      <c r="C1" s="1" t="inlineStr">
        <is>
          <t>−10%</t>
        </is>
      </c>
      <c r="D1" s="1" t="inlineStr">
        <is>
          <t>база</t>
        </is>
      </c>
      <c r="E1" s="1" t="inlineStr">
        <is>
          <t>+10%</t>
        </is>
      </c>
      <c r="F1" s="1" t="inlineStr">
        <is>
          <t>+20%</t>
        </is>
      </c>
      <c r="G1" s="1" t="inlineStr">
        <is>
          <t>Показатель</t>
        </is>
      </c>
    </row>
    <row r="2">
      <c r="A2" t="inlineStr">
        <is>
          <t>Цена</t>
        </is>
      </c>
      <c r="B2" t="n">
        <v>-518145</v>
      </c>
      <c r="C2" t="n">
        <v>3509571</v>
      </c>
      <c r="D2" t="n">
        <v>7430473</v>
      </c>
      <c r="E2" t="n">
        <v>11278307</v>
      </c>
      <c r="F2" t="n">
        <v>15051330</v>
      </c>
      <c r="G2" t="inlineStr">
        <is>
          <t>Чистая прибыль 36 мес.</t>
        </is>
      </c>
    </row>
    <row r="3">
      <c r="A3" t="inlineStr">
        <is>
          <t>Цена</t>
        </is>
      </c>
      <c r="B3" t="inlineStr">
        <is>
          <t>&gt;36</t>
        </is>
      </c>
      <c r="C3" t="inlineStr">
        <is>
          <t>&gt;36</t>
        </is>
      </c>
      <c r="D3" t="n">
        <v>31</v>
      </c>
      <c r="E3" t="n">
        <v>26</v>
      </c>
      <c r="F3" t="n">
        <v>23</v>
      </c>
      <c r="G3" t="inlineStr">
        <is>
          <t>Окупаемость, мес.</t>
        </is>
      </c>
    </row>
    <row r="4">
      <c r="A4" t="inlineStr">
        <is>
          <t>Цена</t>
        </is>
      </c>
      <c r="B4" t="n">
        <v>-6697458</v>
      </c>
      <c r="C4" t="n">
        <v>-3571801</v>
      </c>
      <c r="D4" t="n">
        <v>-545180</v>
      </c>
      <c r="E4" t="n">
        <v>2414882</v>
      </c>
      <c r="F4" t="n">
        <v>5303956</v>
      </c>
      <c r="G4" t="inlineStr">
        <is>
          <t>NPV @18%</t>
        </is>
      </c>
    </row>
    <row r="5">
      <c r="A5" t="inlineStr">
        <is>
          <t>Загрузка</t>
        </is>
      </c>
      <c r="B5" t="n">
        <v>222228</v>
      </c>
      <c r="C5" t="n">
        <v>3880668</v>
      </c>
      <c r="D5" t="n">
        <v>7430473</v>
      </c>
      <c r="E5" t="n">
        <v>10907210</v>
      </c>
      <c r="F5" t="n">
        <v>14309680</v>
      </c>
      <c r="G5" t="inlineStr">
        <is>
          <t>Чистая прибыль 36 мес.</t>
        </is>
      </c>
    </row>
    <row r="6">
      <c r="A6" t="inlineStr">
        <is>
          <t>Загрузка</t>
        </is>
      </c>
      <c r="B6" t="inlineStr">
        <is>
          <t>&gt;36</t>
        </is>
      </c>
      <c r="C6" t="inlineStr">
        <is>
          <t>&gt;36</t>
        </is>
      </c>
      <c r="D6" t="n">
        <v>31</v>
      </c>
      <c r="E6" t="n">
        <v>26</v>
      </c>
      <c r="F6" t="n">
        <v>23</v>
      </c>
      <c r="G6" t="inlineStr">
        <is>
          <t>Окупаемость, мес.</t>
        </is>
      </c>
    </row>
    <row r="7">
      <c r="A7" t="inlineStr">
        <is>
          <t>Загрузка</t>
        </is>
      </c>
      <c r="B7" t="n">
        <v>-6135756</v>
      </c>
      <c r="C7" t="n">
        <v>-3290043</v>
      </c>
      <c r="D7" t="n">
        <v>-545180</v>
      </c>
      <c r="E7" t="n">
        <v>2133124</v>
      </c>
      <c r="F7" t="n">
        <v>4740970</v>
      </c>
      <c r="G7" t="inlineStr">
        <is>
          <t>NPV @18%</t>
        </is>
      </c>
    </row>
    <row r="8">
      <c r="A8" t="inlineStr">
        <is>
          <t>Аренда</t>
        </is>
      </c>
      <c r="B8" t="n">
        <v>8895711</v>
      </c>
      <c r="C8" t="n">
        <v>8163092</v>
      </c>
      <c r="D8" t="n">
        <v>7430473</v>
      </c>
      <c r="E8" t="n">
        <v>6697855</v>
      </c>
      <c r="F8" t="n">
        <v>5965236</v>
      </c>
      <c r="G8" t="inlineStr">
        <is>
          <t>Чистая прибыль 36 мес.</t>
        </is>
      </c>
    </row>
    <row r="9">
      <c r="A9" t="inlineStr">
        <is>
          <t>Аренда</t>
        </is>
      </c>
      <c r="B9" t="n">
        <v>29</v>
      </c>
      <c r="C9" t="n">
        <v>30</v>
      </c>
      <c r="D9" t="n">
        <v>31</v>
      </c>
      <c r="E9" t="n">
        <v>32</v>
      </c>
      <c r="F9" t="n">
        <v>34</v>
      </c>
      <c r="G9" t="inlineStr">
        <is>
          <t>Окупаемость, мес.</t>
        </is>
      </c>
    </row>
    <row r="10">
      <c r="A10" t="inlineStr">
        <is>
          <t>Аренда</t>
        </is>
      </c>
      <c r="B10" t="n">
        <v>723205</v>
      </c>
      <c r="C10" t="n">
        <v>89012</v>
      </c>
      <c r="D10" t="n">
        <v>-545180</v>
      </c>
      <c r="E10" t="n">
        <v>-1179373</v>
      </c>
      <c r="F10" t="n">
        <v>-1813566</v>
      </c>
      <c r="G10" t="inlineStr">
        <is>
          <t>NPV @18%</t>
        </is>
      </c>
    </row>
    <row r="11">
      <c r="A11" t="inlineStr">
        <is>
          <t>Доля ФОТ</t>
        </is>
      </c>
      <c r="B11" t="n">
        <v>16111305</v>
      </c>
      <c r="C11" t="n">
        <v>11810751</v>
      </c>
      <c r="D11" t="n">
        <v>7430473</v>
      </c>
      <c r="E11" t="n">
        <v>3015708</v>
      </c>
      <c r="F11" t="n">
        <v>-1449988</v>
      </c>
      <c r="G11" t="inlineStr">
        <is>
          <t>Чистая прибыль 36 мес.</t>
        </is>
      </c>
    </row>
    <row r="12">
      <c r="A12" t="inlineStr">
        <is>
          <t>Доля ФОТ</t>
        </is>
      </c>
      <c r="B12" t="n">
        <v>22</v>
      </c>
      <c r="C12" t="n">
        <v>26</v>
      </c>
      <c r="D12" t="n">
        <v>31</v>
      </c>
      <c r="E12" t="inlineStr">
        <is>
          <t>&gt;36</t>
        </is>
      </c>
      <c r="F12" t="inlineStr">
        <is>
          <t>&gt;36</t>
        </is>
      </c>
      <c r="G12" t="inlineStr">
        <is>
          <t>Окупаемость, мес.</t>
        </is>
      </c>
    </row>
    <row r="13">
      <c r="A13" t="inlineStr">
        <is>
          <t>Доля ФОТ</t>
        </is>
      </c>
      <c r="B13" t="n">
        <v>5948455</v>
      </c>
      <c r="C13" t="n">
        <v>2739136</v>
      </c>
      <c r="D13" t="n">
        <v>-545180</v>
      </c>
      <c r="E13" t="n">
        <v>-3862133</v>
      </c>
      <c r="F13" t="n">
        <v>-7227952</v>
      </c>
      <c r="G13" t="inlineStr">
        <is>
          <t>NPV @18%</t>
        </is>
      </c>
    </row>
    <row r="15">
      <c r="A15" t="inlineStr">
        <is>
          <t>Переключатели</t>
        </is>
      </c>
      <c r="B15" t="inlineStr">
        <is>
          <t>Налог м36</t>
        </is>
      </c>
      <c r="C15" t="inlineStr">
        <is>
          <t>Чистая прибыль м36</t>
        </is>
      </c>
      <c r="D15" t="inlineStr">
        <is>
          <t>Чистая прибыль 36 мес.</t>
        </is>
      </c>
      <c r="E15" t="inlineStr">
        <is>
          <t>Окупаемость</t>
        </is>
      </c>
      <c r="F15" t="inlineStr">
        <is>
          <t>NPV @18%</t>
        </is>
      </c>
      <c r="G15" t="inlineStr"/>
    </row>
    <row r="16">
      <c r="A16" t="inlineStr">
        <is>
          <t>База (ИП-мастера, аренда у физлица, 40 м², маркетинг 5%→3%)</t>
        </is>
      </c>
      <c r="B16" t="n">
        <v>203829</v>
      </c>
      <c r="C16" t="n">
        <v>420356</v>
      </c>
      <c r="D16" t="n">
        <v>7430473</v>
      </c>
      <c r="E16" t="n">
        <v>31</v>
      </c>
      <c r="F16" t="n">
        <v>-545180</v>
      </c>
      <c r="G16" t="inlineStr"/>
    </row>
    <row r="17">
      <c r="A17" t="inlineStr">
        <is>
          <t>Мастера — сотрудники (ФОТ не вычитается), схема (a)</t>
        </is>
      </c>
      <c r="B17" t="n">
        <v>303661</v>
      </c>
      <c r="C17" t="n">
        <v>336841</v>
      </c>
      <c r="D17" t="n">
        <v>5025109</v>
      </c>
      <c r="E17" t="n">
        <v>35</v>
      </c>
      <c r="F17" t="n">
        <v>-2363351</v>
      </c>
      <c r="G17" t="inlineStr"/>
    </row>
    <row r="18">
      <c r="A18" t="inlineStr">
        <is>
          <t>Мастера — сотрудники с gross-up до 50% на руки, схема (b)</t>
        </is>
      </c>
      <c r="B18" t="n">
        <v>303661</v>
      </c>
      <c r="C18" t="n">
        <v>-293824</v>
      </c>
      <c r="D18" t="n">
        <v>-13295230</v>
      </c>
      <c r="E18" t="inlineStr">
        <is>
          <t>&gt;36</t>
        </is>
      </c>
      <c r="F18" t="n">
        <v>-16282975</v>
      </c>
      <c r="G18" t="inlineStr"/>
    </row>
    <row r="19">
      <c r="A19" t="inlineStr">
        <is>
          <t>Арендодатель выдаёт документы (аренда вычитается)</t>
        </is>
      </c>
      <c r="B19" t="n">
        <v>191101</v>
      </c>
      <c r="C19" t="n">
        <v>433084</v>
      </c>
      <c r="D19" t="n">
        <v>7844241</v>
      </c>
      <c r="E19" t="n">
        <v>30</v>
      </c>
      <c r="F19" t="n">
        <v>-227917</v>
      </c>
      <c r="G19" t="inlineStr"/>
    </row>
    <row r="20">
      <c r="A20" t="inlineStr">
        <is>
          <t>Аренда 9 500/м² (единственное малое объявление в спальном районе)</t>
        </is>
      </c>
      <c r="B20" t="n">
        <v>203829</v>
      </c>
      <c r="C20" t="n">
        <v>322450</v>
      </c>
      <c r="D20" t="n">
        <v>4049156</v>
      </c>
      <c r="E20" t="inlineStr">
        <is>
          <t>&gt;36</t>
        </is>
      </c>
      <c r="F20" t="n">
        <v>-3472225</v>
      </c>
      <c r="G20" t="inlineStr"/>
    </row>
    <row r="21">
      <c r="A21" t="inlineStr">
        <is>
          <t>Аренда 5 800/м² (медиана n=3)</t>
        </is>
      </c>
      <c r="B21" t="n">
        <v>203829</v>
      </c>
      <c r="C21" t="n">
        <v>443201</v>
      </c>
      <c r="D21" t="n">
        <v>8219447</v>
      </c>
      <c r="E21" t="n">
        <v>30</v>
      </c>
      <c r="F21" t="n">
        <v>137796</v>
      </c>
      <c r="G21" t="inlineStr"/>
    </row>
    <row r="22">
      <c r="A22" t="inlineStr">
        <is>
          <t>Драм −10% → аренда +10%</t>
        </is>
      </c>
      <c r="B22" t="n">
        <v>203829</v>
      </c>
      <c r="C22" t="n">
        <v>399143</v>
      </c>
      <c r="D22" t="n">
        <v>6697855</v>
      </c>
      <c r="E22" t="n">
        <v>32</v>
      </c>
      <c r="F22" t="n">
        <v>-1115998</v>
      </c>
      <c r="G22" t="inlineStr"/>
    </row>
    <row r="23">
      <c r="A23" t="inlineStr">
        <is>
          <t>Маркетинг 5% все 3 года</t>
        </is>
      </c>
      <c r="B23" t="n">
        <v>199875</v>
      </c>
      <c r="C23" t="n">
        <v>358408</v>
      </c>
      <c r="D23" t="n">
        <v>6046101</v>
      </c>
      <c r="E23" t="n">
        <v>33</v>
      </c>
      <c r="F23" t="n">
        <v>-1531554</v>
      </c>
      <c r="G23" t="inlineStr"/>
    </row>
    <row r="24">
      <c r="A24" t="inlineStr">
        <is>
          <t>Доля ФОТ 55%</t>
        </is>
      </c>
      <c r="B24" t="n">
        <v>193944</v>
      </c>
      <c r="C24" t="n">
        <v>265486</v>
      </c>
      <c r="D24" t="n">
        <v>3015708</v>
      </c>
      <c r="E24" t="inlineStr">
        <is>
          <t>&gt;36</t>
        </is>
      </c>
      <c r="F24" t="n">
        <v>-3862133</v>
      </c>
      <c r="G24" t="inlineStr"/>
    </row>
    <row r="25">
      <c r="A25" t="inlineStr">
        <is>
          <t>Администратор-хост 150 000 в мес. 1–6</t>
        </is>
      </c>
      <c r="B25" t="n">
        <v>203829</v>
      </c>
      <c r="C25" t="n">
        <v>420356</v>
      </c>
      <c r="D25" t="n">
        <v>6530473</v>
      </c>
      <c r="E25" t="n">
        <v>33</v>
      </c>
      <c r="F25" t="n">
        <v>-1403003</v>
      </c>
      <c r="G25" t="inlineStr"/>
    </row>
    <row r="26">
      <c r="A26" t="inlineStr">
        <is>
          <t>Владелец-оператор (без управляющего)</t>
        </is>
      </c>
      <c r="B26" t="n">
        <v>203829</v>
      </c>
      <c r="C26" t="n">
        <v>550898</v>
      </c>
      <c r="D26" t="n">
        <v>11938896</v>
      </c>
      <c r="E26" t="n">
        <v>25</v>
      </c>
      <c r="F26" t="n">
        <v>2967545</v>
      </c>
      <c r="G26" t="inlineStr"/>
    </row>
    <row r="27">
      <c r="A27" t="inlineStr">
        <is>
          <t>Площадь 40 м² как в v1 (аренда 260 000, fit-out 4,0 млн)</t>
        </is>
      </c>
      <c r="B27" t="n">
        <v>203829</v>
      </c>
      <c r="C27" t="n">
        <v>330479</v>
      </c>
      <c r="D27" t="n">
        <v>4298411</v>
      </c>
      <c r="E27" t="inlineStr">
        <is>
          <t>&gt;36</t>
        </is>
      </c>
      <c r="F27" t="n">
        <v>-3809157</v>
      </c>
      <c r="G27" t="inlineStr"/>
    </row>
    <row r="28">
      <c r="A28" t="inlineStr">
        <is>
          <t>Прайс A+: муж. 2 800, машинка/детская 2 200, жен. 2 800/3 800 (чек +9,5%, −7% к медиане эконом)</t>
        </is>
      </c>
      <c r="B28" t="n">
        <v>224899</v>
      </c>
      <c r="C28" t="n">
        <v>538414</v>
      </c>
      <c r="D28" t="n">
        <v>11090145</v>
      </c>
      <c r="E28" t="n">
        <v>26</v>
      </c>
      <c r="F28" t="n">
        <v>2270205</v>
      </c>
      <c r="G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6" customWidth="1" min="5" max="5"/>
    <col width="18" customWidth="1" min="6" max="6"/>
  </cols>
  <sheetData>
    <row r="1">
      <c r="A1" s="1" t="inlineStr">
        <is>
          <t>Схема оплаты мастеров (мес. 36 базы)</t>
        </is>
      </c>
      <c r="B1" s="1" t="inlineStr">
        <is>
          <t>Брутто на мастера, AMD</t>
        </is>
      </c>
      <c r="C1" s="1" t="inlineStr">
        <is>
          <t>На руки мастеру, AMD</t>
        </is>
      </c>
      <c r="D1" s="1" t="inlineStr">
        <is>
          <t>На руки, % выручки точки</t>
        </is>
      </c>
      <c r="E1" s="1" t="inlineStr">
        <is>
          <t>Стоимость для салона (4 мастера)</t>
        </is>
      </c>
      <c r="F1" s="1" t="inlineStr">
        <is>
          <t>Вычет 6% для салона</t>
        </is>
      </c>
    </row>
    <row r="2">
      <c r="A2" t="inlineStr">
        <is>
          <t>(a) Трудовой договор, 50% выручки gross</t>
        </is>
      </c>
      <c r="B2" t="n">
        <v>411888</v>
      </c>
      <c r="C2" t="n">
        <v>303116</v>
      </c>
      <c r="D2" t="n">
        <v>36.8</v>
      </c>
      <c r="E2" t="n">
        <v>1647553</v>
      </c>
      <c r="F2" t="inlineStr">
        <is>
          <t>нет</t>
        </is>
      </c>
    </row>
    <row r="3">
      <c r="A3" t="inlineStr">
        <is>
          <t>(b) Трудовой договор, 50% выручки НА РУКИ (gross-up)</t>
        </is>
      </c>
      <c r="B3" t="n">
        <v>569555</v>
      </c>
      <c r="C3" t="n">
        <v>411888</v>
      </c>
      <c r="D3" t="n">
        <v>50</v>
      </c>
      <c r="E3" t="n">
        <v>2278219</v>
      </c>
      <c r="F3" t="inlineStr">
        <is>
          <t>нет</t>
        </is>
      </c>
    </row>
    <row r="4">
      <c r="A4" t="inlineStr">
        <is>
          <t>(c) Мастер-ИП (налог с оборота), 50% выручки — базовая</t>
        </is>
      </c>
      <c r="B4" t="n">
        <v>411888</v>
      </c>
      <c r="C4" t="n">
        <v>350135</v>
      </c>
      <c r="D4" t="n">
        <v>42.5</v>
      </c>
      <c r="E4" t="n">
        <v>1647553</v>
      </c>
      <c r="F4" t="inlineStr">
        <is>
          <t>да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2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Паушальный</t>
        </is>
      </c>
      <c r="B1" s="1" t="inlineStr">
        <is>
          <t>Роялти</t>
        </is>
      </c>
      <c r="C1" s="1" t="inlineStr">
        <is>
          <t>Окупаемость, мес.</t>
        </is>
      </c>
      <c r="D1" s="1" t="inlineStr">
        <is>
          <t>Маржа м36</t>
        </is>
      </c>
      <c r="E1" s="1" t="inlineStr">
        <is>
          <t>NPV 36 мес. @18%</t>
        </is>
      </c>
      <c r="F1" s="1" t="inlineStr">
        <is>
          <t>NPV 60 мес. @18%</t>
        </is>
      </c>
      <c r="G1" s="1" t="inlineStr">
        <is>
          <t>IRR 60 мес.</t>
        </is>
      </c>
      <c r="H1" s="1" t="inlineStr">
        <is>
          <t>CAPEX субфранчайзи</t>
        </is>
      </c>
    </row>
    <row r="2">
      <c r="A2" t="n">
        <v>800000</v>
      </c>
      <c r="B2" t="n">
        <v>0.025</v>
      </c>
      <c r="C2" t="n">
        <v>37</v>
      </c>
      <c r="D2" t="n">
        <v>0.1</v>
      </c>
      <c r="E2" t="n">
        <v>-3106158</v>
      </c>
      <c r="F2" t="n">
        <v>3086771</v>
      </c>
      <c r="G2" t="n">
        <v>0.2909</v>
      </c>
      <c r="H2" t="n">
        <v>9784200</v>
      </c>
    </row>
    <row r="3">
      <c r="A3" t="n">
        <v>800000</v>
      </c>
      <c r="B3" t="n">
        <v>0.03</v>
      </c>
      <c r="C3" t="n">
        <v>38</v>
      </c>
      <c r="D3" t="n">
        <v>0.0953</v>
      </c>
      <c r="E3" t="n">
        <v>-3429087</v>
      </c>
      <c r="F3" t="n">
        <v>2560420</v>
      </c>
      <c r="G3" t="n">
        <v>0.2725</v>
      </c>
      <c r="H3" t="n">
        <v>9784200</v>
      </c>
    </row>
    <row r="4">
      <c r="A4" t="n">
        <v>800000</v>
      </c>
      <c r="B4" t="n">
        <v>0.04</v>
      </c>
      <c r="C4" t="n">
        <v>40</v>
      </c>
      <c r="D4" t="n">
        <v>0.0859</v>
      </c>
      <c r="E4" t="n">
        <v>-4098741</v>
      </c>
      <c r="F4" t="n">
        <v>1483919</v>
      </c>
      <c r="G4" t="n">
        <v>0.2341</v>
      </c>
      <c r="H4" t="n">
        <v>9784200</v>
      </c>
    </row>
    <row r="5">
      <c r="A5" t="n">
        <v>1000000</v>
      </c>
      <c r="B5" t="n">
        <v>0.025</v>
      </c>
      <c r="C5" t="n">
        <v>37</v>
      </c>
      <c r="D5" t="n">
        <v>0.099</v>
      </c>
      <c r="E5" t="n">
        <v>-3306158</v>
      </c>
      <c r="F5" t="n">
        <v>2886771</v>
      </c>
      <c r="G5" t="n">
        <v>0.2823</v>
      </c>
      <c r="H5" t="n">
        <v>9984200</v>
      </c>
    </row>
    <row r="6">
      <c r="A6" t="n">
        <v>1000000</v>
      </c>
      <c r="B6" t="n">
        <v>0.03</v>
      </c>
      <c r="C6" t="n">
        <v>38</v>
      </c>
      <c r="D6" t="n">
        <v>0.09429999999999999</v>
      </c>
      <c r="E6" t="n">
        <v>-3629087</v>
      </c>
      <c r="F6" t="n">
        <v>2360420</v>
      </c>
      <c r="G6" t="n">
        <v>0.2641</v>
      </c>
      <c r="H6" t="n">
        <v>9984200</v>
      </c>
    </row>
    <row r="7">
      <c r="A7" t="n">
        <v>1000000</v>
      </c>
      <c r="B7" t="n">
        <v>0.04</v>
      </c>
      <c r="C7" t="n">
        <v>40</v>
      </c>
      <c r="D7" t="n">
        <v>0.0849</v>
      </c>
      <c r="E7" t="n">
        <v>-4298741</v>
      </c>
      <c r="F7" t="n">
        <v>1283919</v>
      </c>
      <c r="G7" t="n">
        <v>0.2262</v>
      </c>
      <c r="H7" t="n">
        <v>9984200</v>
      </c>
    </row>
    <row r="8">
      <c r="A8" t="n">
        <v>1200000</v>
      </c>
      <c r="B8" t="n">
        <v>0.025</v>
      </c>
      <c r="C8" t="n">
        <v>38</v>
      </c>
      <c r="D8" t="n">
        <v>0.098</v>
      </c>
      <c r="E8" t="n">
        <v>-3506158</v>
      </c>
      <c r="F8" t="n">
        <v>2686771</v>
      </c>
      <c r="G8" t="n">
        <v>0.2739</v>
      </c>
      <c r="H8" t="n">
        <v>10184200</v>
      </c>
    </row>
    <row r="9">
      <c r="A9" t="n">
        <v>1200000</v>
      </c>
      <c r="B9" t="n">
        <v>0.03</v>
      </c>
      <c r="C9" t="n">
        <v>39</v>
      </c>
      <c r="D9" t="n">
        <v>0.09329999999999999</v>
      </c>
      <c r="E9" t="n">
        <v>-3829087</v>
      </c>
      <c r="F9" t="n">
        <v>2160420</v>
      </c>
      <c r="G9" t="n">
        <v>0.2559</v>
      </c>
      <c r="H9" t="n">
        <v>10184200</v>
      </c>
    </row>
    <row r="10">
      <c r="A10" t="n">
        <v>1200000</v>
      </c>
      <c r="B10" t="n">
        <v>0.04</v>
      </c>
      <c r="C10" t="n">
        <v>41</v>
      </c>
      <c r="D10" t="n">
        <v>0.0839</v>
      </c>
      <c r="E10" t="n">
        <v>-4498741</v>
      </c>
      <c r="F10" t="n">
        <v>1083919</v>
      </c>
      <c r="G10" t="n">
        <v>0.2185</v>
      </c>
      <c r="H10" t="n">
        <v>10184200</v>
      </c>
    </row>
    <row r="11">
      <c r="A11" t="n">
        <v>1500000</v>
      </c>
      <c r="B11" t="n">
        <v>0.025</v>
      </c>
      <c r="C11" t="n">
        <v>38</v>
      </c>
      <c r="D11" t="n">
        <v>0.0965</v>
      </c>
      <c r="E11" t="n">
        <v>-3806158</v>
      </c>
      <c r="F11" t="n">
        <v>2386771</v>
      </c>
      <c r="G11" t="n">
        <v>0.2618</v>
      </c>
      <c r="H11" t="n">
        <v>10484200</v>
      </c>
    </row>
    <row r="12">
      <c r="A12" t="n">
        <v>1500000</v>
      </c>
      <c r="B12" t="n">
        <v>0.03</v>
      </c>
      <c r="C12" t="n">
        <v>39</v>
      </c>
      <c r="D12" t="n">
        <v>0.09180000000000001</v>
      </c>
      <c r="E12" t="n">
        <v>-4129087</v>
      </c>
      <c r="F12" t="n">
        <v>1860420</v>
      </c>
      <c r="G12" t="n">
        <v>0.2441</v>
      </c>
      <c r="H12" t="n">
        <v>10484200</v>
      </c>
    </row>
    <row r="13">
      <c r="A13" t="n">
        <v>1500000</v>
      </c>
      <c r="B13" t="n">
        <v>0.04</v>
      </c>
      <c r="C13" t="n">
        <v>41</v>
      </c>
      <c r="D13" t="n">
        <v>0.0824</v>
      </c>
      <c r="E13" t="n">
        <v>-4798741</v>
      </c>
      <c r="F13" t="n">
        <v>783919</v>
      </c>
      <c r="G13" t="n">
        <v>0.2073</v>
      </c>
      <c r="H13" t="n">
        <v>10484200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Мес.</t>
        </is>
      </c>
      <c r="B1" s="1" t="inlineStr">
        <is>
          <t>Собств.</t>
        </is>
      </c>
      <c r="C1" s="1" t="inlineStr">
        <is>
          <t>Франч.</t>
        </is>
      </c>
      <c r="D1" s="1" t="inlineStr">
        <is>
          <t>Выручка собств.</t>
        </is>
      </c>
      <c r="E1" s="1" t="inlineStr">
        <is>
          <t>Выручка франч.</t>
        </is>
      </c>
      <c r="F1" s="1" t="inlineStr">
        <is>
          <t>EBITDA собств.</t>
        </is>
      </c>
      <c r="G1" s="1" t="inlineStr">
        <is>
          <t>Роялти</t>
        </is>
      </c>
      <c r="H1" s="1" t="inlineStr">
        <is>
          <t>Фонд (транзит)</t>
        </is>
      </c>
      <c r="I1" s="1" t="inlineStr">
        <is>
          <t>Маржа поставок</t>
        </is>
      </c>
      <c r="J1" s="1" t="inlineStr">
        <is>
          <t>Паушальные</t>
        </is>
      </c>
      <c r="K1" s="1" t="inlineStr">
        <is>
          <t>Расходы УК</t>
        </is>
      </c>
      <c r="L1" s="1" t="inlineStr">
        <is>
          <t>Налог УК</t>
        </is>
      </c>
      <c r="M1" s="1" t="inlineStr">
        <is>
          <t>Результат холдинга</t>
        </is>
      </c>
      <c r="N1" s="1" t="inlineStr">
        <is>
          <t>Результат без паушальных</t>
        </is>
      </c>
      <c r="O1" s="1" t="inlineStr">
        <is>
          <t>CAPEX</t>
        </is>
      </c>
      <c r="P1" s="1" t="inlineStr">
        <is>
          <t>CF</t>
        </is>
      </c>
      <c r="Q1" s="1" t="inlineStr">
        <is>
          <t>Накопл. CF</t>
        </is>
      </c>
      <c r="R1" s="1" t="inlineStr">
        <is>
          <t>Накопл. CF без паушальных</t>
        </is>
      </c>
    </row>
    <row r="2">
      <c r="A2" t="n">
        <v>1</v>
      </c>
      <c r="B2" t="n">
        <v>1</v>
      </c>
      <c r="C2" t="n">
        <v>0</v>
      </c>
      <c r="D2" t="n">
        <v>848123</v>
      </c>
      <c r="E2" t="n">
        <v>0</v>
      </c>
      <c r="F2" t="n">
        <v>-694090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-694090</v>
      </c>
      <c r="N2" t="n">
        <v>-694090</v>
      </c>
      <c r="O2" t="n">
        <v>8984200</v>
      </c>
      <c r="P2" t="n">
        <v>-9678290</v>
      </c>
      <c r="Q2" t="n">
        <v>-9678290</v>
      </c>
      <c r="R2" t="n">
        <v>-9678290</v>
      </c>
    </row>
    <row r="3">
      <c r="A3" t="n">
        <v>2</v>
      </c>
      <c r="B3" t="n">
        <v>1</v>
      </c>
      <c r="C3" t="n">
        <v>0</v>
      </c>
      <c r="D3" t="n">
        <v>1120734</v>
      </c>
      <c r="E3" t="n">
        <v>0</v>
      </c>
      <c r="F3" t="n">
        <v>-448841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-448841</v>
      </c>
      <c r="N3" t="n">
        <v>-448841</v>
      </c>
      <c r="O3" t="n">
        <v>0</v>
      </c>
      <c r="P3" t="n">
        <v>-448841</v>
      </c>
      <c r="Q3" t="n">
        <v>-10127131</v>
      </c>
      <c r="R3" t="n">
        <v>-10127131</v>
      </c>
    </row>
    <row r="4">
      <c r="A4" t="n">
        <v>3</v>
      </c>
      <c r="B4" t="n">
        <v>1</v>
      </c>
      <c r="C4" t="n">
        <v>0</v>
      </c>
      <c r="D4" t="n">
        <v>1423635</v>
      </c>
      <c r="E4" t="n">
        <v>0</v>
      </c>
      <c r="F4" t="n">
        <v>-189014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-189014</v>
      </c>
      <c r="N4" t="n">
        <v>-189014</v>
      </c>
      <c r="O4" t="n">
        <v>0</v>
      </c>
      <c r="P4" t="n">
        <v>-189014</v>
      </c>
      <c r="Q4" t="n">
        <v>-10316145</v>
      </c>
      <c r="R4" t="n">
        <v>-10316145</v>
      </c>
    </row>
    <row r="5">
      <c r="A5" t="n">
        <v>4</v>
      </c>
      <c r="B5" t="n">
        <v>1</v>
      </c>
      <c r="C5" t="n">
        <v>0</v>
      </c>
      <c r="D5" t="n">
        <v>1696246</v>
      </c>
      <c r="E5" t="n">
        <v>0</v>
      </c>
      <c r="F5" t="n">
        <v>-6107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-6107</v>
      </c>
      <c r="N5" t="n">
        <v>-6107</v>
      </c>
      <c r="O5" t="n">
        <v>0</v>
      </c>
      <c r="P5" t="n">
        <v>-6107</v>
      </c>
      <c r="Q5" t="n">
        <v>-10322252</v>
      </c>
      <c r="R5" t="n">
        <v>-10322252</v>
      </c>
    </row>
    <row r="6">
      <c r="A6" t="n">
        <v>5</v>
      </c>
      <c r="B6" t="n">
        <v>1</v>
      </c>
      <c r="C6" t="n">
        <v>0</v>
      </c>
      <c r="D6" t="n">
        <v>1908277</v>
      </c>
      <c r="E6" t="n">
        <v>0</v>
      </c>
      <c r="F6" t="n">
        <v>71683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71683</v>
      </c>
      <c r="N6" t="n">
        <v>71683</v>
      </c>
      <c r="O6" t="n">
        <v>0</v>
      </c>
      <c r="P6" t="n">
        <v>71683</v>
      </c>
      <c r="Q6" t="n">
        <v>-10250569</v>
      </c>
      <c r="R6" t="n">
        <v>-10250569</v>
      </c>
    </row>
    <row r="7">
      <c r="A7" t="n">
        <v>6</v>
      </c>
      <c r="B7" t="n">
        <v>1</v>
      </c>
      <c r="C7" t="n">
        <v>0</v>
      </c>
      <c r="D7" t="n">
        <v>2120308</v>
      </c>
      <c r="E7" t="n">
        <v>0</v>
      </c>
      <c r="F7" t="n">
        <v>149472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149472</v>
      </c>
      <c r="N7" t="n">
        <v>149472</v>
      </c>
      <c r="O7" t="n">
        <v>0</v>
      </c>
      <c r="P7" t="n">
        <v>149472</v>
      </c>
      <c r="Q7" t="n">
        <v>-10101097</v>
      </c>
      <c r="R7" t="n">
        <v>-10101097</v>
      </c>
    </row>
    <row r="8">
      <c r="A8" t="n">
        <v>7</v>
      </c>
      <c r="B8" t="n">
        <v>1</v>
      </c>
      <c r="C8" t="n">
        <v>0</v>
      </c>
      <c r="D8" t="n">
        <v>2241468</v>
      </c>
      <c r="E8" t="n">
        <v>0</v>
      </c>
      <c r="F8" t="n">
        <v>193923</v>
      </c>
      <c r="G8" t="n">
        <v>0</v>
      </c>
      <c r="H8" t="n">
        <v>0</v>
      </c>
      <c r="I8" t="n">
        <v>0</v>
      </c>
      <c r="J8" t="n">
        <v>0</v>
      </c>
      <c r="K8" t="n">
        <v>650000</v>
      </c>
      <c r="L8" t="n">
        <v>0</v>
      </c>
      <c r="M8" t="n">
        <v>-456077</v>
      </c>
      <c r="N8" t="n">
        <v>-456077</v>
      </c>
      <c r="O8" t="n">
        <v>0</v>
      </c>
      <c r="P8" t="n">
        <v>-456077</v>
      </c>
      <c r="Q8" t="n">
        <v>-10557174</v>
      </c>
      <c r="R8" t="n">
        <v>-10557174</v>
      </c>
    </row>
    <row r="9">
      <c r="A9" t="n">
        <v>8</v>
      </c>
      <c r="B9" t="n">
        <v>2</v>
      </c>
      <c r="C9" t="n">
        <v>0</v>
      </c>
      <c r="D9" t="n">
        <v>3180461</v>
      </c>
      <c r="E9" t="n">
        <v>0</v>
      </c>
      <c r="F9" t="n">
        <v>-466828</v>
      </c>
      <c r="G9" t="n">
        <v>0</v>
      </c>
      <c r="H9" t="n">
        <v>0</v>
      </c>
      <c r="I9" t="n">
        <v>0</v>
      </c>
      <c r="J9" t="n">
        <v>0</v>
      </c>
      <c r="K9" t="n">
        <v>650000</v>
      </c>
      <c r="L9" t="n">
        <v>0</v>
      </c>
      <c r="M9" t="n">
        <v>-1116828</v>
      </c>
      <c r="N9" t="n">
        <v>-1116828</v>
      </c>
      <c r="O9" t="n">
        <v>8984200</v>
      </c>
      <c r="P9" t="n">
        <v>-10101028</v>
      </c>
      <c r="Q9" t="n">
        <v>-20658202</v>
      </c>
      <c r="R9" t="n">
        <v>-20658202</v>
      </c>
    </row>
    <row r="10">
      <c r="A10" t="n">
        <v>9</v>
      </c>
      <c r="B10" t="n">
        <v>2</v>
      </c>
      <c r="C10" t="n">
        <v>0</v>
      </c>
      <c r="D10" t="n">
        <v>3513652</v>
      </c>
      <c r="E10" t="n">
        <v>0</v>
      </c>
      <c r="F10" t="n">
        <v>-199354</v>
      </c>
      <c r="G10" t="n">
        <v>0</v>
      </c>
      <c r="H10" t="n">
        <v>0</v>
      </c>
      <c r="I10" t="n">
        <v>0</v>
      </c>
      <c r="J10" t="n">
        <v>0</v>
      </c>
      <c r="K10" t="n">
        <v>650000</v>
      </c>
      <c r="L10" t="n">
        <v>0</v>
      </c>
      <c r="M10" t="n">
        <v>-849354</v>
      </c>
      <c r="N10" t="n">
        <v>-849354</v>
      </c>
      <c r="O10" t="n">
        <v>0</v>
      </c>
      <c r="P10" t="n">
        <v>-849354</v>
      </c>
      <c r="Q10" t="n">
        <v>-21507556</v>
      </c>
      <c r="R10" t="n">
        <v>-21507556</v>
      </c>
    </row>
    <row r="11">
      <c r="A11" t="n">
        <v>10</v>
      </c>
      <c r="B11" t="n">
        <v>2</v>
      </c>
      <c r="C11" t="n">
        <v>0</v>
      </c>
      <c r="D11" t="n">
        <v>3877134</v>
      </c>
      <c r="E11" t="n">
        <v>0</v>
      </c>
      <c r="F11" t="n">
        <v>80185</v>
      </c>
      <c r="G11" t="n">
        <v>0</v>
      </c>
      <c r="H11" t="n">
        <v>0</v>
      </c>
      <c r="I11" t="n">
        <v>0</v>
      </c>
      <c r="J11" t="n">
        <v>0</v>
      </c>
      <c r="K11" t="n">
        <v>650000</v>
      </c>
      <c r="L11" t="n">
        <v>0</v>
      </c>
      <c r="M11" t="n">
        <v>-569815</v>
      </c>
      <c r="N11" t="n">
        <v>-569815</v>
      </c>
      <c r="O11" t="n">
        <v>0</v>
      </c>
      <c r="P11" t="n">
        <v>-569815</v>
      </c>
      <c r="Q11" t="n">
        <v>-22077371</v>
      </c>
      <c r="R11" t="n">
        <v>-22077371</v>
      </c>
    </row>
    <row r="12">
      <c r="A12" t="n">
        <v>11</v>
      </c>
      <c r="B12" t="n">
        <v>2</v>
      </c>
      <c r="C12" t="n">
        <v>0</v>
      </c>
      <c r="D12" t="n">
        <v>4240615</v>
      </c>
      <c r="E12" t="n">
        <v>0</v>
      </c>
      <c r="F12" t="n">
        <v>292159</v>
      </c>
      <c r="G12" t="n">
        <v>0</v>
      </c>
      <c r="H12" t="n">
        <v>0</v>
      </c>
      <c r="I12" t="n">
        <v>0</v>
      </c>
      <c r="J12" t="n">
        <v>0</v>
      </c>
      <c r="K12" t="n">
        <v>650000</v>
      </c>
      <c r="L12" t="n">
        <v>0</v>
      </c>
      <c r="M12" t="n">
        <v>-357841</v>
      </c>
      <c r="N12" t="n">
        <v>-357841</v>
      </c>
      <c r="O12" t="n">
        <v>0</v>
      </c>
      <c r="P12" t="n">
        <v>-357841</v>
      </c>
      <c r="Q12" t="n">
        <v>-22435211</v>
      </c>
      <c r="R12" t="n">
        <v>-22435211</v>
      </c>
    </row>
    <row r="13">
      <c r="A13" t="n">
        <v>12</v>
      </c>
      <c r="B13" t="n">
        <v>2</v>
      </c>
      <c r="C13" t="n">
        <v>0</v>
      </c>
      <c r="D13" t="n">
        <v>4513226</v>
      </c>
      <c r="E13" t="n">
        <v>0</v>
      </c>
      <c r="F13" t="n">
        <v>389327</v>
      </c>
      <c r="G13" t="n">
        <v>0</v>
      </c>
      <c r="H13" t="n">
        <v>0</v>
      </c>
      <c r="I13" t="n">
        <v>0</v>
      </c>
      <c r="J13" t="n">
        <v>0</v>
      </c>
      <c r="K13" t="n">
        <v>650000</v>
      </c>
      <c r="L13" t="n">
        <v>0</v>
      </c>
      <c r="M13" t="n">
        <v>-260673</v>
      </c>
      <c r="N13" t="n">
        <v>-260673</v>
      </c>
      <c r="O13" t="n">
        <v>3000000</v>
      </c>
      <c r="P13" t="n">
        <v>-3260673</v>
      </c>
      <c r="Q13" t="n">
        <v>-25695884</v>
      </c>
      <c r="R13" t="n">
        <v>-25695884</v>
      </c>
    </row>
    <row r="14">
      <c r="A14" t="n">
        <v>13</v>
      </c>
      <c r="B14" t="n">
        <v>2</v>
      </c>
      <c r="C14" t="n">
        <v>0</v>
      </c>
      <c r="D14" t="n">
        <v>4785837</v>
      </c>
      <c r="E14" t="n">
        <v>0</v>
      </c>
      <c r="F14" t="n">
        <v>525807</v>
      </c>
      <c r="G14" t="n">
        <v>0</v>
      </c>
      <c r="H14" t="n">
        <v>0</v>
      </c>
      <c r="I14" t="n">
        <v>0</v>
      </c>
      <c r="J14" t="n">
        <v>0</v>
      </c>
      <c r="K14" t="n">
        <v>1300000</v>
      </c>
      <c r="L14" t="n">
        <v>0</v>
      </c>
      <c r="M14" t="n">
        <v>-774193</v>
      </c>
      <c r="N14" t="n">
        <v>-774193</v>
      </c>
      <c r="O14" t="n">
        <v>0</v>
      </c>
      <c r="P14" t="n">
        <v>-774193</v>
      </c>
      <c r="Q14" t="n">
        <v>-26470077</v>
      </c>
      <c r="R14" t="n">
        <v>-26470077</v>
      </c>
    </row>
    <row r="15">
      <c r="A15" t="n">
        <v>14</v>
      </c>
      <c r="B15" t="n">
        <v>3</v>
      </c>
      <c r="C15" t="n">
        <v>0</v>
      </c>
      <c r="D15" t="n">
        <v>5774396</v>
      </c>
      <c r="E15" t="n">
        <v>0</v>
      </c>
      <c r="F15" t="n">
        <v>-117304</v>
      </c>
      <c r="G15" t="n">
        <v>0</v>
      </c>
      <c r="H15" t="n">
        <v>0</v>
      </c>
      <c r="I15" t="n">
        <v>0</v>
      </c>
      <c r="J15" t="n">
        <v>0</v>
      </c>
      <c r="K15" t="n">
        <v>1300000</v>
      </c>
      <c r="L15" t="n">
        <v>0</v>
      </c>
      <c r="M15" t="n">
        <v>-1417304</v>
      </c>
      <c r="N15" t="n">
        <v>-1417304</v>
      </c>
      <c r="O15" t="n">
        <v>8984200</v>
      </c>
      <c r="P15" t="n">
        <v>-10401504</v>
      </c>
      <c r="Q15" t="n">
        <v>-36871581</v>
      </c>
      <c r="R15" t="n">
        <v>-36871581</v>
      </c>
    </row>
    <row r="16">
      <c r="A16" t="n">
        <v>15</v>
      </c>
      <c r="B16" t="n">
        <v>3</v>
      </c>
      <c r="C16" t="n">
        <v>0</v>
      </c>
      <c r="D16" t="n">
        <v>6157153</v>
      </c>
      <c r="E16" t="n">
        <v>0</v>
      </c>
      <c r="F16" t="n">
        <v>167812</v>
      </c>
      <c r="G16" t="n">
        <v>0</v>
      </c>
      <c r="H16" t="n">
        <v>0</v>
      </c>
      <c r="I16" t="n">
        <v>0</v>
      </c>
      <c r="J16" t="n">
        <v>0</v>
      </c>
      <c r="K16" t="n">
        <v>1300000</v>
      </c>
      <c r="L16" t="n">
        <v>0</v>
      </c>
      <c r="M16" t="n">
        <v>-1132188</v>
      </c>
      <c r="N16" t="n">
        <v>-1132188</v>
      </c>
      <c r="O16" t="n">
        <v>0</v>
      </c>
      <c r="P16" t="n">
        <v>-1132188</v>
      </c>
      <c r="Q16" t="n">
        <v>-38003769</v>
      </c>
      <c r="R16" t="n">
        <v>-38003769</v>
      </c>
    </row>
    <row r="17">
      <c r="A17" t="n">
        <v>16</v>
      </c>
      <c r="B17" t="n">
        <v>3</v>
      </c>
      <c r="C17" t="n">
        <v>0</v>
      </c>
      <c r="D17" t="n">
        <v>6539910</v>
      </c>
      <c r="E17" t="n">
        <v>0</v>
      </c>
      <c r="F17" t="n">
        <v>456393</v>
      </c>
      <c r="G17" t="n">
        <v>0</v>
      </c>
      <c r="H17" t="n">
        <v>0</v>
      </c>
      <c r="I17" t="n">
        <v>0</v>
      </c>
      <c r="J17" t="n">
        <v>0</v>
      </c>
      <c r="K17" t="n">
        <v>1300000</v>
      </c>
      <c r="L17" t="n">
        <v>0</v>
      </c>
      <c r="M17" t="n">
        <v>-843607</v>
      </c>
      <c r="N17" t="n">
        <v>-843607</v>
      </c>
      <c r="O17" t="n">
        <v>0</v>
      </c>
      <c r="P17" t="n">
        <v>-843607</v>
      </c>
      <c r="Q17" t="n">
        <v>-38847376</v>
      </c>
      <c r="R17" t="n">
        <v>-38847376</v>
      </c>
    </row>
    <row r="18">
      <c r="A18" t="n">
        <v>17</v>
      </c>
      <c r="B18" t="n">
        <v>3</v>
      </c>
      <c r="C18" t="n">
        <v>0</v>
      </c>
      <c r="D18" t="n">
        <v>6892376</v>
      </c>
      <c r="E18" t="n">
        <v>0</v>
      </c>
      <c r="F18" t="n">
        <v>665539</v>
      </c>
      <c r="G18" t="n">
        <v>0</v>
      </c>
      <c r="H18" t="n">
        <v>0</v>
      </c>
      <c r="I18" t="n">
        <v>0</v>
      </c>
      <c r="J18" t="n">
        <v>0</v>
      </c>
      <c r="K18" t="n">
        <v>1300000</v>
      </c>
      <c r="L18" t="n">
        <v>0</v>
      </c>
      <c r="M18" t="n">
        <v>-634461</v>
      </c>
      <c r="N18" t="n">
        <v>-634461</v>
      </c>
      <c r="O18" t="n">
        <v>0</v>
      </c>
      <c r="P18" t="n">
        <v>-634461</v>
      </c>
      <c r="Q18" t="n">
        <v>-39481837</v>
      </c>
      <c r="R18" t="n">
        <v>-39481837</v>
      </c>
    </row>
    <row r="19">
      <c r="A19" t="n">
        <v>18</v>
      </c>
      <c r="B19" t="n">
        <v>3</v>
      </c>
      <c r="C19" t="n">
        <v>1</v>
      </c>
      <c r="D19" t="n">
        <v>7214553</v>
      </c>
      <c r="E19" t="n">
        <v>848123</v>
      </c>
      <c r="F19" t="n">
        <v>778925</v>
      </c>
      <c r="G19" t="n">
        <v>0</v>
      </c>
      <c r="H19" t="n">
        <v>8481</v>
      </c>
      <c r="I19" t="n">
        <v>6872</v>
      </c>
      <c r="J19" t="n">
        <v>1000000</v>
      </c>
      <c r="K19" t="n">
        <v>1300000</v>
      </c>
      <c r="L19" t="n">
        <v>100859</v>
      </c>
      <c r="M19" t="n">
        <v>384937</v>
      </c>
      <c r="N19" t="n">
        <v>-515063</v>
      </c>
      <c r="O19" t="n">
        <v>0</v>
      </c>
      <c r="P19" t="n">
        <v>384937</v>
      </c>
      <c r="Q19" t="n">
        <v>-39096899</v>
      </c>
      <c r="R19" t="n">
        <v>-39996899</v>
      </c>
    </row>
    <row r="20">
      <c r="A20" t="n">
        <v>19</v>
      </c>
      <c r="B20" t="n">
        <v>3</v>
      </c>
      <c r="C20" t="n">
        <v>1</v>
      </c>
      <c r="D20" t="n">
        <v>7506439</v>
      </c>
      <c r="E20" t="n">
        <v>1120734</v>
      </c>
      <c r="F20" t="n">
        <v>882621</v>
      </c>
      <c r="G20" t="n">
        <v>50000</v>
      </c>
      <c r="H20" t="n">
        <v>11207</v>
      </c>
      <c r="I20" t="n">
        <v>9081</v>
      </c>
      <c r="J20" t="n">
        <v>0</v>
      </c>
      <c r="K20" t="n">
        <v>1300000</v>
      </c>
      <c r="L20" t="n">
        <v>6135</v>
      </c>
      <c r="M20" t="n">
        <v>-364434</v>
      </c>
      <c r="N20" t="n">
        <v>-364434</v>
      </c>
      <c r="O20" t="n">
        <v>0</v>
      </c>
      <c r="P20" t="n">
        <v>-364434</v>
      </c>
      <c r="Q20" t="n">
        <v>-39461333</v>
      </c>
      <c r="R20" t="n">
        <v>-40361333</v>
      </c>
    </row>
    <row r="21">
      <c r="A21" t="n">
        <v>20</v>
      </c>
      <c r="B21" t="n">
        <v>3</v>
      </c>
      <c r="C21" t="n">
        <v>1</v>
      </c>
      <c r="D21" t="n">
        <v>7707455</v>
      </c>
      <c r="E21" t="n">
        <v>1423635</v>
      </c>
      <c r="F21" t="n">
        <v>992291</v>
      </c>
      <c r="G21" t="n">
        <v>50000</v>
      </c>
      <c r="H21" t="n">
        <v>14236</v>
      </c>
      <c r="I21" t="n">
        <v>11535</v>
      </c>
      <c r="J21" t="n">
        <v>0</v>
      </c>
      <c r="K21" t="n">
        <v>1300000</v>
      </c>
      <c r="L21" t="n">
        <v>6442</v>
      </c>
      <c r="M21" t="n">
        <v>-252617</v>
      </c>
      <c r="N21" t="n">
        <v>-252617</v>
      </c>
      <c r="O21" t="n">
        <v>0</v>
      </c>
      <c r="P21" t="n">
        <v>-252617</v>
      </c>
      <c r="Q21" t="n">
        <v>-39713949</v>
      </c>
      <c r="R21" t="n">
        <v>-40613949</v>
      </c>
    </row>
    <row r="22">
      <c r="A22" t="n">
        <v>21</v>
      </c>
      <c r="B22" t="n">
        <v>3</v>
      </c>
      <c r="C22" t="n">
        <v>2</v>
      </c>
      <c r="D22" t="n">
        <v>7836877</v>
      </c>
      <c r="E22" t="n">
        <v>2544369</v>
      </c>
      <c r="F22" t="n">
        <v>1038685</v>
      </c>
      <c r="G22" t="n">
        <v>50887</v>
      </c>
      <c r="H22" t="n">
        <v>25444</v>
      </c>
      <c r="I22" t="n">
        <v>20615</v>
      </c>
      <c r="J22" t="n">
        <v>1000000</v>
      </c>
      <c r="K22" t="n">
        <v>1300000</v>
      </c>
      <c r="L22" t="n">
        <v>107666</v>
      </c>
      <c r="M22" t="n">
        <v>702522</v>
      </c>
      <c r="N22" t="n">
        <v>-197478</v>
      </c>
      <c r="O22" t="n">
        <v>0</v>
      </c>
      <c r="P22" t="n">
        <v>702522</v>
      </c>
      <c r="Q22" t="n">
        <v>-39011427</v>
      </c>
      <c r="R22" t="n">
        <v>-40811427</v>
      </c>
    </row>
    <row r="23">
      <c r="A23" t="n">
        <v>22</v>
      </c>
      <c r="B23" t="n">
        <v>3</v>
      </c>
      <c r="C23" t="n">
        <v>2</v>
      </c>
      <c r="D23" t="n">
        <v>7936008</v>
      </c>
      <c r="E23" t="n">
        <v>3029011</v>
      </c>
      <c r="F23" t="n">
        <v>1073967</v>
      </c>
      <c r="G23" t="n">
        <v>107248</v>
      </c>
      <c r="H23" t="n">
        <v>30290</v>
      </c>
      <c r="I23" t="n">
        <v>24542</v>
      </c>
      <c r="J23" t="n">
        <v>0</v>
      </c>
      <c r="K23" t="n">
        <v>1300000</v>
      </c>
      <c r="L23" t="n">
        <v>13793</v>
      </c>
      <c r="M23" t="n">
        <v>-108035</v>
      </c>
      <c r="N23" t="n">
        <v>-108035</v>
      </c>
      <c r="O23" t="n">
        <v>0</v>
      </c>
      <c r="P23" t="n">
        <v>-108035</v>
      </c>
      <c r="Q23" t="n">
        <v>-39119462</v>
      </c>
      <c r="R23" t="n">
        <v>-40919462</v>
      </c>
    </row>
    <row r="24">
      <c r="A24" t="n">
        <v>23</v>
      </c>
      <c r="B24" t="n">
        <v>3</v>
      </c>
      <c r="C24" t="n">
        <v>2</v>
      </c>
      <c r="D24" t="n">
        <v>8035139</v>
      </c>
      <c r="E24" t="n">
        <v>3543943</v>
      </c>
      <c r="F24" t="n">
        <v>1106735</v>
      </c>
      <c r="G24" t="n">
        <v>113609</v>
      </c>
      <c r="H24" t="n">
        <v>35439</v>
      </c>
      <c r="I24" t="n">
        <v>28714</v>
      </c>
      <c r="J24" t="n">
        <v>0</v>
      </c>
      <c r="K24" t="n">
        <v>1300000</v>
      </c>
      <c r="L24" t="n">
        <v>14950</v>
      </c>
      <c r="M24" t="n">
        <v>-65892</v>
      </c>
      <c r="N24" t="n">
        <v>-65892</v>
      </c>
      <c r="O24" t="n">
        <v>0</v>
      </c>
      <c r="P24" t="n">
        <v>-65892</v>
      </c>
      <c r="Q24" t="n">
        <v>-39185353</v>
      </c>
      <c r="R24" t="n">
        <v>-40985353</v>
      </c>
    </row>
    <row r="25">
      <c r="A25" t="n">
        <v>24</v>
      </c>
      <c r="B25" t="n">
        <v>3</v>
      </c>
      <c r="C25" t="n">
        <v>3</v>
      </c>
      <c r="D25" t="n">
        <v>8164561</v>
      </c>
      <c r="E25" t="n">
        <v>4785837</v>
      </c>
      <c r="F25" t="n">
        <v>1148859</v>
      </c>
      <c r="G25" t="n">
        <v>118131</v>
      </c>
      <c r="H25" t="n">
        <v>47858</v>
      </c>
      <c r="I25" t="n">
        <v>38777</v>
      </c>
      <c r="J25" t="n">
        <v>1000000</v>
      </c>
      <c r="K25" t="n">
        <v>1300000</v>
      </c>
      <c r="L25" t="n">
        <v>116660</v>
      </c>
      <c r="M25" t="n">
        <v>889107</v>
      </c>
      <c r="N25" t="n">
        <v>-10893</v>
      </c>
      <c r="O25" t="n">
        <v>0</v>
      </c>
      <c r="P25" t="n">
        <v>889107</v>
      </c>
      <c r="Q25" t="n">
        <v>-38296247</v>
      </c>
      <c r="R25" t="n">
        <v>-40996247</v>
      </c>
    </row>
    <row r="26">
      <c r="A26" t="n">
        <v>25</v>
      </c>
      <c r="B26" t="n">
        <v>3</v>
      </c>
      <c r="C26" t="n">
        <v>3</v>
      </c>
      <c r="D26" t="n">
        <v>8304997</v>
      </c>
      <c r="E26" t="n">
        <v>5361349</v>
      </c>
      <c r="F26" t="n">
        <v>1195283</v>
      </c>
      <c r="G26" t="n">
        <v>177218</v>
      </c>
      <c r="H26" t="n">
        <v>53613</v>
      </c>
      <c r="I26" t="n">
        <v>43440</v>
      </c>
      <c r="J26" t="n">
        <v>0</v>
      </c>
      <c r="K26" t="n">
        <v>1300000</v>
      </c>
      <c r="L26" t="n">
        <v>23152</v>
      </c>
      <c r="M26" t="n">
        <v>92789</v>
      </c>
      <c r="N26" t="n">
        <v>92789</v>
      </c>
      <c r="O26" t="n">
        <v>0</v>
      </c>
      <c r="P26" t="n">
        <v>92789</v>
      </c>
      <c r="Q26" t="n">
        <v>-38203458</v>
      </c>
      <c r="R26" t="n">
        <v>-40903458</v>
      </c>
    </row>
    <row r="27">
      <c r="A27" t="n">
        <v>26</v>
      </c>
      <c r="B27" t="n">
        <v>3</v>
      </c>
      <c r="C27" t="n">
        <v>3</v>
      </c>
      <c r="D27" t="n">
        <v>8393113</v>
      </c>
      <c r="E27" t="n">
        <v>5936861</v>
      </c>
      <c r="F27" t="n">
        <v>1263299</v>
      </c>
      <c r="G27" t="n">
        <v>185397</v>
      </c>
      <c r="H27" t="n">
        <v>59369</v>
      </c>
      <c r="I27" t="n">
        <v>48102</v>
      </c>
      <c r="J27" t="n">
        <v>0</v>
      </c>
      <c r="K27" t="n">
        <v>1300000</v>
      </c>
      <c r="L27" t="n">
        <v>24552</v>
      </c>
      <c r="M27" t="n">
        <v>172246</v>
      </c>
      <c r="N27" t="n">
        <v>172246</v>
      </c>
      <c r="O27" t="n">
        <v>0</v>
      </c>
      <c r="P27" t="n">
        <v>172246</v>
      </c>
      <c r="Q27" t="n">
        <v>-38031212</v>
      </c>
      <c r="R27" t="n">
        <v>-40731212</v>
      </c>
    </row>
    <row r="28">
      <c r="A28" t="n">
        <v>27</v>
      </c>
      <c r="B28" t="n">
        <v>3</v>
      </c>
      <c r="C28" t="n">
        <v>4</v>
      </c>
      <c r="D28" t="n">
        <v>8439925</v>
      </c>
      <c r="E28" t="n">
        <v>7239336</v>
      </c>
      <c r="F28" t="n">
        <v>1279153</v>
      </c>
      <c r="G28" t="n">
        <v>191736</v>
      </c>
      <c r="H28" t="n">
        <v>72393</v>
      </c>
      <c r="I28" t="n">
        <v>58656</v>
      </c>
      <c r="J28" t="n">
        <v>1000000</v>
      </c>
      <c r="K28" t="n">
        <v>1300000</v>
      </c>
      <c r="L28" t="n">
        <v>126506</v>
      </c>
      <c r="M28" t="n">
        <v>1103040</v>
      </c>
      <c r="N28" t="n">
        <v>203040</v>
      </c>
      <c r="O28" t="n">
        <v>0</v>
      </c>
      <c r="P28" t="n">
        <v>1103040</v>
      </c>
      <c r="Q28" t="n">
        <v>-36928172</v>
      </c>
      <c r="R28" t="n">
        <v>-40528172</v>
      </c>
    </row>
    <row r="29">
      <c r="A29" t="n">
        <v>28</v>
      </c>
      <c r="B29" t="n">
        <v>3</v>
      </c>
      <c r="C29" t="n">
        <v>4</v>
      </c>
      <c r="D29" t="n">
        <v>8486737</v>
      </c>
      <c r="E29" t="n">
        <v>7905718</v>
      </c>
      <c r="F29" t="n">
        <v>1295008</v>
      </c>
      <c r="G29" t="n">
        <v>253550</v>
      </c>
      <c r="H29" t="n">
        <v>79057</v>
      </c>
      <c r="I29" t="n">
        <v>64055</v>
      </c>
      <c r="J29" t="n">
        <v>0</v>
      </c>
      <c r="K29" t="n">
        <v>1300000</v>
      </c>
      <c r="L29" t="n">
        <v>33362</v>
      </c>
      <c r="M29" t="n">
        <v>279250</v>
      </c>
      <c r="N29" t="n">
        <v>279250</v>
      </c>
      <c r="O29" t="n">
        <v>0</v>
      </c>
      <c r="P29" t="n">
        <v>279250</v>
      </c>
      <c r="Q29" t="n">
        <v>-36648922</v>
      </c>
      <c r="R29" t="n">
        <v>-40248922</v>
      </c>
    </row>
    <row r="30">
      <c r="A30" t="n">
        <v>29</v>
      </c>
      <c r="B30" t="n">
        <v>3</v>
      </c>
      <c r="C30" t="n">
        <v>4</v>
      </c>
      <c r="D30" t="n">
        <v>8533549</v>
      </c>
      <c r="E30" t="n">
        <v>8541810</v>
      </c>
      <c r="F30" t="n">
        <v>1310862</v>
      </c>
      <c r="G30" t="n">
        <v>263545</v>
      </c>
      <c r="H30" t="n">
        <v>85418</v>
      </c>
      <c r="I30" t="n">
        <v>69209</v>
      </c>
      <c r="J30" t="n">
        <v>0</v>
      </c>
      <c r="K30" t="n">
        <v>1300000</v>
      </c>
      <c r="L30" t="n">
        <v>35006</v>
      </c>
      <c r="M30" t="n">
        <v>308610</v>
      </c>
      <c r="N30" t="n">
        <v>308610</v>
      </c>
      <c r="O30" t="n">
        <v>0</v>
      </c>
      <c r="P30" t="n">
        <v>308610</v>
      </c>
      <c r="Q30" t="n">
        <v>-36340312</v>
      </c>
      <c r="R30" t="n">
        <v>-39940312</v>
      </c>
    </row>
    <row r="31">
      <c r="A31" t="n">
        <v>30</v>
      </c>
      <c r="B31" t="n">
        <v>3</v>
      </c>
      <c r="C31" t="n">
        <v>5</v>
      </c>
      <c r="D31" t="n">
        <v>8580361</v>
      </c>
      <c r="E31" t="n">
        <v>9904865</v>
      </c>
      <c r="F31" t="n">
        <v>1326716</v>
      </c>
      <c r="G31" t="n">
        <v>271702</v>
      </c>
      <c r="H31" t="n">
        <v>99049</v>
      </c>
      <c r="I31" t="n">
        <v>80253</v>
      </c>
      <c r="J31" t="n">
        <v>1000000</v>
      </c>
      <c r="K31" t="n">
        <v>1300000</v>
      </c>
      <c r="L31" t="n">
        <v>137202</v>
      </c>
      <c r="M31" t="n">
        <v>1241469</v>
      </c>
      <c r="N31" t="n">
        <v>341469</v>
      </c>
      <c r="O31" t="n">
        <v>0</v>
      </c>
      <c r="P31" t="n">
        <v>1241469</v>
      </c>
      <c r="Q31" t="n">
        <v>-35098843</v>
      </c>
      <c r="R31" t="n">
        <v>-39598843</v>
      </c>
    </row>
    <row r="32">
      <c r="A32" t="n">
        <v>31</v>
      </c>
      <c r="B32" t="n">
        <v>3</v>
      </c>
      <c r="C32" t="n">
        <v>5</v>
      </c>
      <c r="D32" t="n">
        <v>8627173</v>
      </c>
      <c r="E32" t="n">
        <v>10590523</v>
      </c>
      <c r="F32" t="n">
        <v>1342570</v>
      </c>
      <c r="G32" t="n">
        <v>334094</v>
      </c>
      <c r="H32" t="n">
        <v>105905</v>
      </c>
      <c r="I32" t="n">
        <v>85808</v>
      </c>
      <c r="J32" t="n">
        <v>0</v>
      </c>
      <c r="K32" t="n">
        <v>1300000</v>
      </c>
      <c r="L32" t="n">
        <v>44135</v>
      </c>
      <c r="M32" t="n">
        <v>418337</v>
      </c>
      <c r="N32" t="n">
        <v>418337</v>
      </c>
      <c r="O32" t="n">
        <v>0</v>
      </c>
      <c r="P32" t="n">
        <v>418337</v>
      </c>
      <c r="Q32" t="n">
        <v>-34680507</v>
      </c>
      <c r="R32" t="n">
        <v>-39180507</v>
      </c>
    </row>
    <row r="33">
      <c r="A33" t="n">
        <v>32</v>
      </c>
      <c r="B33" t="n">
        <v>3</v>
      </c>
      <c r="C33" t="n">
        <v>5</v>
      </c>
      <c r="D33" t="n">
        <v>8715290</v>
      </c>
      <c r="E33" t="n">
        <v>11245891</v>
      </c>
      <c r="F33" t="n">
        <v>1372413</v>
      </c>
      <c r="G33" t="n">
        <v>344668</v>
      </c>
      <c r="H33" t="n">
        <v>112459</v>
      </c>
      <c r="I33" t="n">
        <v>91118</v>
      </c>
      <c r="J33" t="n">
        <v>0</v>
      </c>
      <c r="K33" t="n">
        <v>1300000</v>
      </c>
      <c r="L33" t="n">
        <v>45857</v>
      </c>
      <c r="M33" t="n">
        <v>462343</v>
      </c>
      <c r="N33" t="n">
        <v>462343</v>
      </c>
      <c r="O33" t="n">
        <v>0</v>
      </c>
      <c r="P33" t="n">
        <v>462343</v>
      </c>
      <c r="Q33" t="n">
        <v>-34218164</v>
      </c>
      <c r="R33" t="n">
        <v>-38718164</v>
      </c>
    </row>
    <row r="34">
      <c r="A34" t="n">
        <v>33</v>
      </c>
      <c r="B34" t="n">
        <v>3</v>
      </c>
      <c r="C34" t="n">
        <v>6</v>
      </c>
      <c r="D34" t="n">
        <v>8751087</v>
      </c>
      <c r="E34" t="n">
        <v>12628221</v>
      </c>
      <c r="F34" t="n">
        <v>1384537</v>
      </c>
      <c r="G34" t="n">
        <v>353403</v>
      </c>
      <c r="H34" t="n">
        <v>126282</v>
      </c>
      <c r="I34" t="n">
        <v>102318</v>
      </c>
      <c r="J34" t="n">
        <v>1000000</v>
      </c>
      <c r="K34" t="n">
        <v>1300000</v>
      </c>
      <c r="L34" t="n">
        <v>148130</v>
      </c>
      <c r="M34" t="n">
        <v>1392128</v>
      </c>
      <c r="N34" t="n">
        <v>492128</v>
      </c>
      <c r="O34" t="n">
        <v>0</v>
      </c>
      <c r="P34" t="n">
        <v>1392128</v>
      </c>
      <c r="Q34" t="n">
        <v>-32826035</v>
      </c>
      <c r="R34" t="n">
        <v>-38226035</v>
      </c>
    </row>
    <row r="35">
      <c r="A35" t="n">
        <v>34</v>
      </c>
      <c r="B35" t="n">
        <v>3</v>
      </c>
      <c r="C35" t="n">
        <v>6</v>
      </c>
      <c r="D35" t="n">
        <v>8786885</v>
      </c>
      <c r="E35" t="n">
        <v>13333154</v>
      </c>
      <c r="F35" t="n">
        <v>1396661</v>
      </c>
      <c r="G35" t="n">
        <v>416373</v>
      </c>
      <c r="H35" t="n">
        <v>133332</v>
      </c>
      <c r="I35" t="n">
        <v>108030</v>
      </c>
      <c r="J35" t="n">
        <v>0</v>
      </c>
      <c r="K35" t="n">
        <v>1300000</v>
      </c>
      <c r="L35" t="n">
        <v>55141</v>
      </c>
      <c r="M35" t="n">
        <v>565923</v>
      </c>
      <c r="N35" t="n">
        <v>565923</v>
      </c>
      <c r="O35" t="n">
        <v>0</v>
      </c>
      <c r="P35" t="n">
        <v>565923</v>
      </c>
      <c r="Q35" t="n">
        <v>-32260113</v>
      </c>
      <c r="R35" t="n">
        <v>-37660113</v>
      </c>
    </row>
    <row r="36">
      <c r="A36" t="n">
        <v>35</v>
      </c>
      <c r="B36" t="n">
        <v>3</v>
      </c>
      <c r="C36" t="n">
        <v>6</v>
      </c>
      <c r="D36" t="n">
        <v>8822682</v>
      </c>
      <c r="E36" t="n">
        <v>14007798</v>
      </c>
      <c r="F36" t="n">
        <v>1408785</v>
      </c>
      <c r="G36" t="n">
        <v>427525</v>
      </c>
      <c r="H36" t="n">
        <v>140078</v>
      </c>
      <c r="I36" t="n">
        <v>113496</v>
      </c>
      <c r="J36" t="n">
        <v>0</v>
      </c>
      <c r="K36" t="n">
        <v>1300000</v>
      </c>
      <c r="L36" t="n">
        <v>56939</v>
      </c>
      <c r="M36" t="n">
        <v>592866</v>
      </c>
      <c r="N36" t="n">
        <v>592866</v>
      </c>
      <c r="O36" t="n">
        <v>0</v>
      </c>
      <c r="P36" t="n">
        <v>592866</v>
      </c>
      <c r="Q36" t="n">
        <v>-31667247</v>
      </c>
      <c r="R36" t="n">
        <v>-37067247</v>
      </c>
    </row>
    <row r="37">
      <c r="A37" t="n">
        <v>36</v>
      </c>
      <c r="B37" t="n">
        <v>3</v>
      </c>
      <c r="C37" t="n">
        <v>7</v>
      </c>
      <c r="D37" t="n">
        <v>8858480</v>
      </c>
      <c r="E37" t="n">
        <v>15409404</v>
      </c>
      <c r="F37" t="n">
        <v>1420909</v>
      </c>
      <c r="G37" t="n">
        <v>436838</v>
      </c>
      <c r="H37" t="n">
        <v>154094</v>
      </c>
      <c r="I37" t="n">
        <v>124852</v>
      </c>
      <c r="J37" t="n">
        <v>1000000</v>
      </c>
      <c r="K37" t="n">
        <v>1300000</v>
      </c>
      <c r="L37" t="n">
        <v>159290</v>
      </c>
      <c r="M37" t="n">
        <v>1523309</v>
      </c>
      <c r="N37" t="n">
        <v>623309</v>
      </c>
      <c r="O37" t="n">
        <v>0</v>
      </c>
      <c r="P37" t="n">
        <v>1523309</v>
      </c>
      <c r="Q37" t="n">
        <v>-30143937</v>
      </c>
      <c r="R37" t="n">
        <v>-36443937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2026-10-20T15:12:49Z</dcterms:created>
  <dcterms:modified xmlns:dcterms="http://purl.org/dc/terms/" xmlns:xsi="http://www.w3.org/2001/XMLSchema-instance" xsi:type="dcterms:W3CDTF">2026-10-20T15:12:49Z</dcterms:modified>
</cp:coreProperties>
</file>